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iemangan/Desktop/"/>
    </mc:Choice>
  </mc:AlternateContent>
  <xr:revisionPtr revIDLastSave="0" documentId="13_ncr:1_{0A12962A-AE3B-9C4E-9A6C-5D56C89791DC}" xr6:coauthVersionLast="47" xr6:coauthVersionMax="47" xr10:uidLastSave="{00000000-0000-0000-0000-000000000000}"/>
  <bookViews>
    <workbookView xWindow="1560" yWindow="1300" windowWidth="27240" windowHeight="15940" xr2:uid="{9854F379-A2E1-9C44-97BB-4C747EF890F5}"/>
  </bookViews>
  <sheets>
    <sheet name="Data" sheetId="1" r:id="rId1"/>
    <sheet name="LifeTable" sheetId="2" r:id="rId2"/>
  </sheets>
  <calcPr calcId="191029" iterate="1" concurrentCalc="0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D3" i="2"/>
  <c r="C3" i="2"/>
  <c r="F3" i="2"/>
  <c r="G3" i="2"/>
  <c r="D4" i="2"/>
  <c r="C4" i="2"/>
  <c r="F4" i="2"/>
  <c r="G4" i="2"/>
  <c r="D5" i="2"/>
  <c r="C5" i="2"/>
  <c r="F5" i="2"/>
  <c r="G5" i="2"/>
  <c r="D6" i="2"/>
  <c r="C6" i="2"/>
  <c r="F6" i="2"/>
  <c r="G6" i="2"/>
  <c r="D7" i="2"/>
  <c r="C7" i="2"/>
  <c r="F7" i="2"/>
  <c r="G7" i="2"/>
  <c r="D8" i="2"/>
  <c r="C8" i="2"/>
  <c r="F8" i="2"/>
  <c r="G8" i="2"/>
  <c r="D9" i="2"/>
  <c r="C9" i="2"/>
  <c r="F9" i="2"/>
  <c r="G9" i="2"/>
  <c r="D10" i="2"/>
  <c r="C10" i="2"/>
  <c r="F10" i="2"/>
  <c r="G10" i="2"/>
  <c r="D11" i="2"/>
  <c r="C11" i="2"/>
  <c r="F11" i="2"/>
  <c r="G11" i="2"/>
  <c r="D12" i="2"/>
  <c r="C12" i="2"/>
  <c r="F12" i="2"/>
  <c r="G12" i="2"/>
  <c r="D13" i="2"/>
  <c r="C13" i="2"/>
  <c r="F13" i="2"/>
  <c r="G13" i="2"/>
  <c r="D14" i="2"/>
  <c r="C14" i="2"/>
  <c r="F14" i="2"/>
  <c r="G14" i="2"/>
  <c r="D15" i="2"/>
  <c r="C15" i="2"/>
  <c r="F15" i="2"/>
  <c r="G15" i="2"/>
  <c r="D16" i="2"/>
  <c r="C16" i="2"/>
  <c r="F16" i="2"/>
  <c r="G16" i="2"/>
  <c r="D17" i="2"/>
  <c r="C17" i="2"/>
  <c r="F17" i="2"/>
  <c r="G17" i="2"/>
  <c r="D18" i="2"/>
  <c r="C18" i="2"/>
  <c r="F18" i="2"/>
  <c r="G18" i="2"/>
  <c r="D19" i="2"/>
  <c r="C19" i="2"/>
  <c r="F19" i="2"/>
  <c r="G19" i="2"/>
  <c r="D20" i="2"/>
  <c r="C20" i="2"/>
  <c r="F20" i="2"/>
  <c r="G20" i="2"/>
  <c r="D21" i="2"/>
  <c r="C21" i="2"/>
  <c r="F21" i="2"/>
  <c r="G21" i="2"/>
  <c r="D22" i="2"/>
  <c r="C22" i="2"/>
  <c r="F22" i="2"/>
  <c r="G22" i="2"/>
  <c r="D23" i="2"/>
  <c r="C23" i="2"/>
  <c r="F23" i="2"/>
  <c r="G23" i="2"/>
  <c r="D24" i="2"/>
  <c r="C24" i="2"/>
  <c r="F24" i="2"/>
  <c r="G24" i="2"/>
  <c r="D25" i="2"/>
  <c r="C25" i="2"/>
  <c r="F25" i="2"/>
  <c r="G25" i="2"/>
  <c r="D26" i="2"/>
  <c r="C26" i="2"/>
  <c r="F26" i="2"/>
  <c r="G26" i="2"/>
  <c r="D27" i="2"/>
  <c r="C27" i="2"/>
  <c r="F27" i="2"/>
  <c r="G27" i="2"/>
  <c r="D28" i="2"/>
  <c r="C28" i="2"/>
  <c r="F28" i="2"/>
  <c r="G28" i="2"/>
  <c r="D29" i="2"/>
  <c r="C29" i="2"/>
  <c r="F29" i="2"/>
  <c r="G29" i="2"/>
  <c r="D30" i="2"/>
  <c r="C30" i="2"/>
  <c r="F30" i="2"/>
  <c r="G30" i="2"/>
  <c r="D31" i="2"/>
  <c r="C31" i="2"/>
  <c r="F31" i="2"/>
  <c r="G31" i="2"/>
  <c r="D32" i="2"/>
  <c r="C32" i="2"/>
  <c r="F32" i="2"/>
  <c r="G32" i="2"/>
  <c r="D33" i="2"/>
  <c r="C33" i="2"/>
  <c r="F33" i="2"/>
  <c r="G33" i="2"/>
  <c r="D34" i="2"/>
  <c r="C34" i="2"/>
  <c r="F34" i="2"/>
  <c r="G34" i="2"/>
  <c r="D35" i="2"/>
  <c r="C35" i="2"/>
  <c r="F35" i="2"/>
  <c r="G35" i="2"/>
  <c r="D36" i="2"/>
  <c r="C36" i="2"/>
  <c r="F36" i="2"/>
  <c r="G36" i="2"/>
  <c r="D37" i="2"/>
  <c r="C37" i="2"/>
  <c r="F37" i="2"/>
  <c r="G37" i="2"/>
  <c r="D38" i="2"/>
  <c r="C38" i="2"/>
  <c r="F38" i="2"/>
  <c r="G38" i="2"/>
  <c r="D39" i="2"/>
  <c r="C39" i="2"/>
  <c r="F39" i="2"/>
  <c r="G39" i="2"/>
  <c r="D40" i="2"/>
  <c r="C40" i="2"/>
  <c r="F40" i="2"/>
  <c r="G40" i="2"/>
  <c r="D41" i="2"/>
  <c r="C41" i="2"/>
  <c r="F41" i="2"/>
  <c r="G41" i="2"/>
  <c r="D42" i="2"/>
  <c r="C42" i="2"/>
  <c r="F42" i="2"/>
  <c r="G42" i="2"/>
  <c r="D43" i="2"/>
  <c r="C43" i="2"/>
  <c r="F43" i="2"/>
  <c r="G43" i="2"/>
  <c r="D44" i="2"/>
  <c r="C44" i="2"/>
  <c r="F44" i="2"/>
  <c r="G44" i="2"/>
  <c r="D45" i="2"/>
  <c r="C45" i="2"/>
  <c r="F45" i="2"/>
  <c r="G45" i="2"/>
  <c r="D46" i="2"/>
  <c r="C46" i="2"/>
  <c r="F46" i="2"/>
  <c r="G46" i="2"/>
  <c r="D47" i="2"/>
  <c r="C47" i="2"/>
  <c r="F47" i="2"/>
  <c r="G47" i="2"/>
  <c r="D48" i="2"/>
  <c r="C48" i="2"/>
  <c r="F48" i="2"/>
  <c r="G48" i="2"/>
  <c r="D49" i="2"/>
  <c r="C49" i="2"/>
  <c r="F49" i="2"/>
  <c r="G49" i="2"/>
  <c r="D50" i="2"/>
  <c r="C50" i="2"/>
  <c r="F50" i="2"/>
  <c r="G50" i="2"/>
  <c r="D51" i="2"/>
  <c r="C51" i="2"/>
  <c r="F51" i="2"/>
  <c r="G51" i="2"/>
  <c r="D52" i="2"/>
  <c r="C52" i="2"/>
  <c r="F52" i="2"/>
  <c r="G52" i="2"/>
  <c r="D53" i="2"/>
  <c r="C53" i="2"/>
  <c r="F53" i="2"/>
  <c r="G53" i="2"/>
  <c r="D54" i="2"/>
  <c r="C54" i="2"/>
  <c r="F54" i="2"/>
  <c r="G54" i="2"/>
  <c r="D55" i="2"/>
  <c r="C55" i="2"/>
  <c r="F55" i="2"/>
  <c r="G55" i="2"/>
  <c r="D56" i="2"/>
  <c r="C56" i="2"/>
  <c r="F56" i="2"/>
  <c r="G56" i="2"/>
  <c r="D57" i="2"/>
  <c r="C57" i="2"/>
  <c r="F57" i="2"/>
  <c r="G57" i="2"/>
  <c r="D58" i="2"/>
  <c r="C58" i="2"/>
  <c r="F58" i="2"/>
  <c r="G58" i="2"/>
  <c r="D59" i="2"/>
  <c r="C59" i="2"/>
  <c r="F59" i="2"/>
  <c r="G59" i="2"/>
  <c r="D60" i="2"/>
  <c r="C60" i="2"/>
  <c r="F60" i="2"/>
  <c r="G60" i="2"/>
  <c r="D61" i="2"/>
  <c r="C61" i="2"/>
  <c r="F61" i="2"/>
  <c r="G61" i="2"/>
  <c r="D62" i="2"/>
  <c r="C62" i="2"/>
  <c r="F62" i="2"/>
  <c r="G62" i="2"/>
  <c r="D63" i="2"/>
  <c r="C63" i="2"/>
  <c r="F63" i="2"/>
  <c r="G63" i="2"/>
  <c r="D64" i="2"/>
  <c r="C64" i="2"/>
  <c r="F64" i="2"/>
  <c r="G64" i="2"/>
  <c r="D65" i="2"/>
  <c r="C65" i="2"/>
  <c r="F65" i="2"/>
  <c r="G65" i="2"/>
  <c r="D66" i="2"/>
  <c r="C66" i="2"/>
  <c r="F66" i="2"/>
  <c r="G66" i="2"/>
  <c r="D67" i="2"/>
  <c r="C67" i="2"/>
  <c r="F67" i="2"/>
  <c r="G67" i="2"/>
  <c r="D68" i="2"/>
  <c r="C68" i="2"/>
  <c r="F68" i="2"/>
  <c r="G68" i="2"/>
  <c r="D69" i="2"/>
  <c r="C69" i="2"/>
  <c r="F69" i="2"/>
  <c r="G69" i="2"/>
  <c r="D70" i="2"/>
  <c r="C70" i="2"/>
  <c r="F70" i="2"/>
  <c r="G70" i="2"/>
  <c r="D71" i="2"/>
  <c r="C71" i="2"/>
  <c r="F71" i="2"/>
  <c r="G71" i="2"/>
  <c r="D72" i="2"/>
  <c r="C72" i="2"/>
  <c r="F72" i="2"/>
  <c r="G72" i="2"/>
  <c r="D73" i="2"/>
  <c r="C73" i="2"/>
  <c r="F73" i="2"/>
  <c r="G73" i="2"/>
  <c r="D74" i="2"/>
  <c r="C74" i="2"/>
  <c r="F74" i="2"/>
  <c r="G74" i="2"/>
  <c r="D75" i="2"/>
  <c r="C75" i="2"/>
  <c r="F75" i="2"/>
  <c r="G75" i="2"/>
  <c r="D76" i="2"/>
  <c r="C76" i="2"/>
  <c r="F76" i="2"/>
  <c r="G76" i="2"/>
  <c r="D77" i="2"/>
  <c r="C77" i="2"/>
  <c r="F77" i="2"/>
  <c r="G77" i="2"/>
  <c r="D78" i="2"/>
  <c r="C78" i="2"/>
  <c r="F78" i="2"/>
  <c r="G78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J2" i="2"/>
  <c r="K2" i="2"/>
  <c r="N2" i="2"/>
  <c r="D79" i="2"/>
  <c r="D80" i="2"/>
  <c r="C80" i="2"/>
  <c r="C79" i="2"/>
  <c r="L2" i="2"/>
  <c r="M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M39" i="2"/>
  <c r="S2" i="2"/>
  <c r="V2" i="2"/>
  <c r="U2" i="2"/>
  <c r="T2" i="2"/>
  <c r="R2" i="2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tc={5FE7041E-3CB1-A145-A7D7-E29BB9685B38}</author>
    <author>Dorothy Hayden (external)</author>
    <author>tc={9751D3F6-B9D9-4649-AED7-4E5082256911}</author>
  </authors>
  <commentList>
    <comment ref="D1" authorId="0" shapeId="0" xr:uid="{5FE7041E-3CB1-A145-A7D7-E29BB9685B3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 field for each day from 0 to the maximum day so the pivot table shows a value for each day.  See the bottom of this column.</t>
      </text>
    </comment>
    <comment ref="E1" authorId="1" shapeId="0" xr:uid="{29D2AA70-95AD-CE48-8524-A57F3CC251E3}">
      <text>
        <r>
          <rPr>
            <b/>
            <sz val="8"/>
            <color rgb="FF000000"/>
            <rFont val="Tahoma"/>
            <family val="2"/>
          </rPr>
          <t>Dorothy Hayden (external):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F1" authorId="1" shapeId="0" xr:uid="{4C7F1411-0C59-9C45-9B63-DE5115E9398D}">
      <text>
        <r>
          <rPr>
            <b/>
            <sz val="8"/>
            <color rgb="FF000000"/>
            <rFont val="Tahoma"/>
            <family val="2"/>
          </rPr>
          <t>Dorothy Hayden (external):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The number of eggs laid that result in females. This is calculated from the sex ratio</t>
        </r>
      </text>
    </comment>
    <comment ref="G2" authorId="2" shapeId="0" xr:uid="{9751D3F6-B9D9-4649-AED7-4E508225691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you remove a mother and her offspring from the lifetable, move her offspring to the side and refresh the pivot table.  This will give you a correct value for the entire set before you paste into the life table.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tc={4AB72F8C-5CD7-4249-B364-77A5B3F67FE8}</author>
    <author>tc={D9E44810-FF7D-3540-9570-91A0F7F0C935}</author>
    <author>tc={18CB1C83-A1DF-814C-BE6B-EB5EEF7B3409}</author>
    <author>tc={68079A8D-C395-524A-8E22-FB30D6EE8C49}</author>
    <author>tc={9E061DE5-57F9-764A-96ED-148462F43AEF}</author>
    <author>tc={454B4F14-5C57-E941-BE19-346548DE2ABD}</author>
    <author>tc={B03B9D56-B583-0646-B89E-6B53AA95FCD2}</author>
    <author>tc={2B931DBB-8806-2D4B-B263-4BFE05C1140A}</author>
    <author>tc={45D8F235-2F13-6343-9C57-5AE889A3C95A}</author>
    <author>tc={C8630812-3C53-2B4B-B9E5-6092FA0D2F05}</author>
    <author>tc={CAA1991F-FB99-BA44-A238-06D5D98C391F}</author>
    <author>tc={A5CD2D99-3B7E-184E-A2F4-40A97F5A0198}</author>
  </authors>
  <commentList>
    <comment ref="F1" authorId="0" shapeId="0" xr:uid="{4AB72F8C-5CD7-4249-B364-77A5B3F67FE8}">
      <text>
        <t>[Threaded comment]
Your version of Excel allows you to read this threaded comment; however, any edits to it will get removed if the file is opened in a newer version of Excel. Learn more: https://go.microsoft.com/fwlink/?linkid=870924
Comment:
    mx is the per capita female offspring</t>
      </text>
    </comment>
    <comment ref="I1" authorId="1" shapeId="0" xr:uid="{D9E44810-FF7D-3540-9570-91A0F7F0C935}">
      <text>
        <t>[Threaded comment]
Your version of Excel allows you to read this threaded comment; however, any edits to it will get removed if the file is opened in a newer version of Excel. Learn more: https://go.microsoft.com/fwlink/?linkid=870924
Comment:
    Net reproductive rate.  The rate of growth based on the number of females produced</t>
      </text>
    </comment>
    <comment ref="J1" authorId="2" shapeId="0" xr:uid="{18CB1C83-A1DF-814C-BE6B-EB5EEF7B3409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Generation time in days</t>
      </text>
    </comment>
    <comment ref="V1" authorId="3" shapeId="0" xr:uid="{68079A8D-C395-524A-8E22-FB30D6EE8C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Rate of growth (lambda) is the ratio of population size at the end of one interval to population size at the end of the previous interval </t>
      </text>
    </comment>
    <comment ref="B2" authorId="4" shapeId="0" xr:uid="{9E061DE5-57F9-764A-96ED-148462F43A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day zero - the first day of the organisms life so when it was an egg.
age specific survivorship -- fraction of cohort alive at the START OF THE INTERVAL
</t>
      </text>
    </comment>
    <comment ref="C2" authorId="5" shapeId="0" xr:uid="{454B4F14-5C57-E941-BE19-346548DE2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Fraction of the original population that is left alive
</t>
      </text>
    </comment>
    <comment ref="D2" authorId="6" shapeId="0" xr:uid="{B03B9D56-B583-0646-B89E-6B53AA95FCD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this to one less when you remove one wasp - the ones below this point indicate the day on which a wasp died</t>
      </text>
    </comment>
    <comment ref="E2" authorId="7" shapeId="0" xr:uid="{2B931DBB-8806-2D4B-B263-4BFE05C114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total number that the life table is based on.  As you remove one wasp it will drop by one automatically.
age specific birth rate - the per female rate of offspring production for females of a particular age</t>
      </text>
    </comment>
    <comment ref="K2" authorId="8" shapeId="0" xr:uid="{45D8F235-2F13-6343-9C57-5AE889A3C95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of the net intrinsic rate of increase</t>
      </text>
    </comment>
    <comment ref="N2" authorId="9" shapeId="0" xr:uid="{C8630812-3C53-2B4B-B9E5-6092FA0D2F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value is iterated until the sum of the previous column is equal to one.  This is a more precise value for rm.  Use "Solve" to change this cell until the bottom of column L is equal to "1"
</t>
      </text>
    </comment>
    <comment ref="P2" authorId="10" shapeId="0" xr:uid="{CAA1991F-FB99-BA44-A238-06D5D98C391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Paste here as "0" often doesn't appear in pivottable - just paste values</t>
      </text>
    </comment>
    <comment ref="R2" authorId="11" shapeId="0" xr:uid="{A5CD2D99-3B7E-184E-A2F4-40A97F5A019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autopopulate.  Copy them over into the table to the right and use "paste values".</t>
      </text>
    </comment>
  </commentList>
</comments>
</file>

<file path=xl/sharedStrings.xml><?xml version="1.0" encoding="utf-8"?>
<sst xmlns="http://schemas.openxmlformats.org/spreadsheetml/2006/main" count="36" uniqueCount="29">
  <si>
    <t>Wasp</t>
  </si>
  <si>
    <t>Temperature</t>
  </si>
  <si>
    <t>Day</t>
  </si>
  <si>
    <t>Life Table Day</t>
  </si>
  <si>
    <t>Fecundity</t>
  </si>
  <si>
    <t>Sum of females</t>
  </si>
  <si>
    <t>Row Labels</t>
  </si>
  <si>
    <t>Sum of Sum of females</t>
  </si>
  <si>
    <t>Grand Total</t>
  </si>
  <si>
    <t>Temp</t>
  </si>
  <si>
    <t>x</t>
  </si>
  <si>
    <t>lx</t>
  </si>
  <si>
    <t>alive</t>
  </si>
  <si>
    <t>extract</t>
  </si>
  <si>
    <t>mx</t>
  </si>
  <si>
    <t>lxmx</t>
  </si>
  <si>
    <t>xlxmx</t>
  </si>
  <si>
    <t>R0</t>
  </si>
  <si>
    <t>Tc</t>
  </si>
  <si>
    <t>rm(equ est)</t>
  </si>
  <si>
    <t>erx</t>
  </si>
  <si>
    <t>Lxmxerx</t>
  </si>
  <si>
    <t>rm (iterate)</t>
  </si>
  <si>
    <t>rm</t>
  </si>
  <si>
    <t>gen time</t>
  </si>
  <si>
    <t>pop dbl</t>
  </si>
  <si>
    <t>lamdba</t>
  </si>
  <si>
    <t>temp</t>
  </si>
  <si>
    <t>iterate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</si>
</sst>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1" xfId="0" pivotButton="1" applyBorder="1"/>
    <xf numFmtId="2" fontId="0" fillId="0" borderId="0" xfId="0" applyNumberFormat="1"/>
    <xf numFmtId="0" fontId="0" fillId="2" borderId="0" xfId="0" applyFill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749300</xdr:colOff>
      <xdr:row>10</xdr:row>
      <xdr:rowOff>101600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1CF82-0A9D-AC15-D2B5-DD81C9336C43}"/>
            </a:ext>
          </a:extLst>
        </xdr:cNvPr>
        <xdr:cNvSpPr txBox="1"/>
      </xdr:nvSpPr>
      <xdr:spPr>
        <a:xfrm>
          <a:off x="7353300" y="213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sie Mangan" id="{00D5823D-E0BF-3142-9F7E-5FF40C2E66B6}" userId="Rosie Mangan" providerId="Non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mpletedLifeTDoroth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ie Mangan" refreshedDate="45885.924999074072" refreshedVersion="8" recordCount="442" xr:uid="{28D22FF4-DBDA-BF4F-AFE2-2BD5490F4186}">
  <cacheSource type="worksheet">
    <worksheetSource ref="D1:F543" sheet="10_Raw Data" r:id="rId2"/>
  </cacheSource>
  <cacheFields count="3">
    <cacheField name="Life Table Day" numFmtId="0">
      <sharedItems containsString="0" containsBlank="1" containsNumber="1" containsInteger="1" minValue="1" maxValue="79" count="80"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m/>
      </sharedItems>
    </cacheField>
    <cacheField name="Fecundity" numFmtId="0">
      <sharedItems containsString="0" containsBlank="1" containsNumber="1" containsInteger="1" minValue="0" maxValue="6"/>
    </cacheField>
    <cacheField name="Sum of females" numFmtId="0">
      <sharedItems containsString="0" containsBlank="1" containsNumber="1" minValue="0" maxValue="4.86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1"/>
    <n v="0.81"/>
  </r>
  <r>
    <x v="10"/>
    <n v="0"/>
    <n v="0"/>
  </r>
  <r>
    <x v="11"/>
    <n v="0"/>
    <n v="0"/>
  </r>
  <r>
    <x v="12"/>
    <n v="3"/>
    <n v="2.4300000000000002"/>
  </r>
  <r>
    <x v="13"/>
    <n v="0"/>
    <n v="0"/>
  </r>
  <r>
    <x v="14"/>
    <n v="0"/>
    <n v="0"/>
  </r>
  <r>
    <x v="15"/>
    <n v="0"/>
    <n v="0"/>
  </r>
  <r>
    <x v="16"/>
    <n v="1"/>
    <n v="0.81"/>
  </r>
  <r>
    <x v="17"/>
    <n v="0"/>
    <n v="0"/>
  </r>
  <r>
    <x v="18"/>
    <n v="0"/>
    <n v="0"/>
  </r>
  <r>
    <x v="19"/>
    <n v="2"/>
    <n v="1.62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1"/>
    <n v="0.81"/>
  </r>
  <r>
    <x v="7"/>
    <n v="0"/>
    <n v="0"/>
  </r>
  <r>
    <x v="8"/>
    <n v="0"/>
    <n v="0"/>
  </r>
  <r>
    <x v="9"/>
    <n v="5"/>
    <n v="4.0500000000000007"/>
  </r>
  <r>
    <x v="10"/>
    <n v="0"/>
    <n v="0"/>
  </r>
  <r>
    <x v="11"/>
    <n v="0"/>
    <n v="0"/>
  </r>
  <r>
    <x v="12"/>
    <n v="4"/>
    <n v="3.24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3"/>
    <n v="2.4300000000000002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1"/>
    <n v="0.81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1"/>
    <n v="0.81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2"/>
    <n v="1.62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5"/>
    <n v="4.0500000000000007"/>
  </r>
  <r>
    <x v="12"/>
    <n v="0"/>
    <n v="0"/>
  </r>
  <r>
    <x v="13"/>
    <n v="0"/>
    <n v="0"/>
  </r>
  <r>
    <x v="14"/>
    <n v="6"/>
    <n v="4.8600000000000003"/>
  </r>
  <r>
    <x v="15"/>
    <n v="0"/>
    <n v="0"/>
  </r>
  <r>
    <x v="16"/>
    <n v="0"/>
    <n v="0"/>
  </r>
  <r>
    <x v="17"/>
    <n v="5"/>
    <n v="4.0500000000000007"/>
  </r>
  <r>
    <x v="18"/>
    <n v="0"/>
    <n v="0"/>
  </r>
  <r>
    <x v="19"/>
    <n v="0"/>
    <n v="0"/>
  </r>
  <r>
    <x v="20"/>
    <n v="6"/>
    <n v="4.8600000000000003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1"/>
    <n v="0.81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3"/>
    <n v="2.4300000000000002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5"/>
    <n v="4.0500000000000007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1"/>
    <n v="0.81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1"/>
    <n v="0.81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1"/>
    <n v="0.81"/>
  </r>
  <r>
    <x v="12"/>
    <n v="0"/>
    <n v="0"/>
  </r>
  <r>
    <x v="13"/>
    <n v="0"/>
    <n v="0"/>
  </r>
  <r>
    <x v="14"/>
    <n v="1"/>
    <n v="0.81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1"/>
    <n v="0.81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3"/>
    <n v="2.4300000000000002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2"/>
    <n v="1.62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2"/>
    <n v="1.62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1"/>
    <n v="0.81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3"/>
    <n v="2.4300000000000002"/>
  </r>
  <r>
    <x v="6"/>
    <n v="0"/>
    <n v="0"/>
  </r>
  <r>
    <x v="7"/>
    <n v="0"/>
    <n v="0"/>
  </r>
  <r>
    <x v="8"/>
    <n v="1"/>
    <n v="0.81"/>
  </r>
  <r>
    <x v="9"/>
    <n v="0"/>
    <n v="0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40"/>
    <m/>
    <n v="0"/>
  </r>
  <r>
    <x v="41"/>
    <m/>
    <n v="0"/>
  </r>
  <r>
    <x v="42"/>
    <m/>
    <n v="0"/>
  </r>
  <r>
    <x v="43"/>
    <m/>
    <n v="0"/>
  </r>
  <r>
    <x v="44"/>
    <m/>
    <n v="0"/>
  </r>
  <r>
    <x v="45"/>
    <m/>
    <n v="0"/>
  </r>
  <r>
    <x v="46"/>
    <m/>
    <n v="0"/>
  </r>
  <r>
    <x v="47"/>
    <m/>
    <n v="0"/>
  </r>
  <r>
    <x v="48"/>
    <m/>
    <n v="0"/>
  </r>
  <r>
    <x v="49"/>
    <m/>
    <n v="0"/>
  </r>
  <r>
    <x v="50"/>
    <m/>
    <n v="0"/>
  </r>
  <r>
    <x v="51"/>
    <m/>
    <n v="0"/>
  </r>
  <r>
    <x v="52"/>
    <m/>
    <n v="0"/>
  </r>
  <r>
    <x v="53"/>
    <m/>
    <n v="0"/>
  </r>
  <r>
    <x v="54"/>
    <m/>
    <n v="0"/>
  </r>
  <r>
    <x v="55"/>
    <m/>
    <n v="0"/>
  </r>
  <r>
    <x v="56"/>
    <m/>
    <n v="0"/>
  </r>
  <r>
    <x v="57"/>
    <m/>
    <n v="0"/>
  </r>
  <r>
    <x v="58"/>
    <m/>
    <n v="0"/>
  </r>
  <r>
    <x v="59"/>
    <m/>
    <n v="0"/>
  </r>
  <r>
    <x v="60"/>
    <m/>
    <n v="0"/>
  </r>
  <r>
    <x v="61"/>
    <m/>
    <n v="0"/>
  </r>
  <r>
    <x v="62"/>
    <m/>
    <n v="0"/>
  </r>
  <r>
    <x v="63"/>
    <m/>
    <n v="0"/>
  </r>
  <r>
    <x v="64"/>
    <m/>
    <n v="0"/>
  </r>
  <r>
    <x v="65"/>
    <m/>
    <n v="0"/>
  </r>
  <r>
    <x v="66"/>
    <m/>
    <n v="0"/>
  </r>
  <r>
    <x v="67"/>
    <m/>
    <n v="0"/>
  </r>
  <r>
    <x v="68"/>
    <m/>
    <n v="0"/>
  </r>
  <r>
    <x v="69"/>
    <m/>
    <n v="0"/>
  </r>
  <r>
    <x v="70"/>
    <m/>
    <n v="0"/>
  </r>
  <r>
    <x v="71"/>
    <m/>
    <n v="0"/>
  </r>
  <r>
    <x v="72"/>
    <m/>
    <n v="0"/>
  </r>
  <r>
    <x v="73"/>
    <m/>
    <n v="0"/>
  </r>
  <r>
    <x v="74"/>
    <m/>
    <n v="0"/>
  </r>
  <r>
    <x v="75"/>
    <m/>
    <n v="0"/>
  </r>
  <r>
    <x v="76"/>
    <m/>
    <n v="0"/>
  </r>
  <r>
    <x v="77"/>
    <m/>
    <n v="0"/>
  </r>
  <r>
    <x v="78"/>
    <m/>
    <n v="0"/>
  </r>
  <r>
    <x v="7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1C415-2705-8847-9711-C1C7E5511EA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J1:K81" firstHeaderRow="1" firstDataRow="1" firstDataCol="1"/>
  <pivotFields count="3">
    <pivotField axis="axisRow" showAll="0" sumSubtotal="1">
      <items count="81"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79"/>
        <item t="sum"/>
      </items>
    </pivotField>
    <pivotField showAll="0" defaultSubtotal="0"/>
    <pivotField dataField="1" showAll="0"/>
  </pivotFields>
  <rowFields count="1">
    <field x="0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um of females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8-16T23:02:27.50" personId="{00D5823D-E0BF-3142-9F7E-5FF40C2E66B6}" id="{5FE7041E-3CB1-A145-A7D7-E29BB9685B38}">
    <text>Add a field for each day from 0 to the maximum day so the pivot table shows a value for each day.  See the bottom of this column.</text>
  </threadedComment>
  <threadedComment ref="G2" dT="2025-08-16T22:59:34.93" personId="{00D5823D-E0BF-3142-9F7E-5FF40C2E66B6}" id="{9751D3F6-B9D9-4649-AED7-4E5082256911}">
    <text>As you remove a mother and her offspring from the lifetable, move her offspring to the side and refresh the pivot table.  This will give you a correct value for the entire set before you paste into the life table.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8-16T22:12:59.54" personId="{00D5823D-E0BF-3142-9F7E-5FF40C2E66B6}" id="{4AB72F8C-5CD7-4249-B364-77A5B3F67FE8}">
    <text>mx is the per capita female offspring</text>
  </threadedComment>
  <threadedComment ref="I1" dT="2025-08-16T22:13:27.85" personId="{00D5823D-E0BF-3142-9F7E-5FF40C2E66B6}" id="{D9E44810-FF7D-3540-9570-91A0F7F0C935}">
    <text>Net reproductive rate.  The rate of growth based on the number of females produced</text>
  </threadedComment>
  <threadedComment ref="J1" dT="2025-08-16T22:14:08.49" personId="{00D5823D-E0BF-3142-9F7E-5FF40C2E66B6}" id="{18CB1C83-A1DF-814C-BE6B-EB5EEF7B3409}">
    <text>Generation time in days</text>
  </threadedComment>
  <threadedComment ref="V1" dT="2025-08-16T22:22:54.43" personId="{00D5823D-E0BF-3142-9F7E-5FF40C2E66B6}" id="{68079A8D-C395-524A-8E22-FB30D6EE8C49}">
    <text xml:space="preserve">Rate of growth (lambda) is the ratio of population size at the end of one interval to population size at the end of the previous interval </text>
  </threadedComment>
  <threadedComment ref="B2" dT="2025-08-16T22:09:39.04" personId="{00D5823D-E0BF-3142-9F7E-5FF40C2E66B6}" id="{9E061DE5-57F9-764A-96ED-148462F43AEF}">
    <text xml:space="preserve">This is day zero - the first day of the organisms life so when it was an egg.
age specific survivorship -- fraction of cohort alive at the START OF THE INTERVAL
</text>
  </threadedComment>
  <threadedComment ref="C2" dT="2025-08-16T22:10:23.27" personId="{00D5823D-E0BF-3142-9F7E-5FF40C2E66B6}" id="{454B4F14-5C57-E941-BE19-346548DE2ABD}">
    <text xml:space="preserve">Fraction of the original population that is left alive
</text>
  </threadedComment>
  <threadedComment ref="D2" dT="2025-08-16T22:12:04.09" personId="{00D5823D-E0BF-3142-9F7E-5FF40C2E66B6}" id="{B03B9D56-B583-0646-B89E-6B53AA95FCD2}">
    <text>change this to one less when you remove one wasp - the ones below this point indicate the day on which a wasp died</text>
  </threadedComment>
  <threadedComment ref="E2" dT="2025-08-16T22:12:51.92" personId="{00D5823D-E0BF-3142-9F7E-5FF40C2E66B6}" id="{2B931DBB-8806-2D4B-B263-4BFE05C1140A}">
    <text>This is the total number that the life table is based on.  As you remove one wasp it will drop by one automatically.
age specific birth rate - the per female rate of offspring production for females of a particular age</text>
  </threadedComment>
  <threadedComment ref="K2" dT="2025-08-16T22:14:39.92" personId="{00D5823D-E0BF-3142-9F7E-5FF40C2E66B6}" id="{45D8F235-2F13-6343-9C57-5AE889A3C95A}">
    <text>estimate of the net intrinsic rate of increase</text>
  </threadedComment>
  <threadedComment ref="N2" dT="2025-08-16T22:15:18.51" personId="{00D5823D-E0BF-3142-9F7E-5FF40C2E66B6}" id="{C8630812-3C53-2B4B-B9E5-6092FA0D2F05}">
    <text xml:space="preserve">This value is iterated until the sum of the previous column is equal to one.  This is a more precise value for rm.  Use "Solve" to change this cell until the bottom of column L is equal to "1"
</text>
  </threadedComment>
  <threadedComment ref="P2" dT="2025-08-16T22:17:36.89" personId="{00D5823D-E0BF-3142-9F7E-5FF40C2E66B6}" id="{CAA1991F-FB99-BA44-A238-06D5D98C391F}">
    <text>Paste here as "0" often doesn't appear in pivottable - just paste values</text>
  </threadedComment>
  <threadedComment ref="R2" dT="2025-08-16T22:22:30.20" personId="{00D5823D-E0BF-3142-9F7E-5FF40C2E66B6}" id="{A5CD2D99-3B7E-184E-A2F4-40A97F5A0198}">
    <text>These will autopopulate.  Copy them over into the table to the right and use "paste values".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231D-A554-1549-9B88-0FC8C31C1A28}">
  <dimension ref="A1:K442"/>
  <sheetViews>
    <sheetView tabSelected="1" workbookViewId="0">
      <selection activeCell="F12" sqref="F12"/>
    </sheetView>
  </sheetViews>
  <sheetFormatPr baseColWidth="10" defaultRowHeight="16" x14ac:dyDescent="0.2"/>
  <cols>
    <col min="2" max="2" width="13.1640625" customWidth="1"/>
    <col min="3" max="3" width="8.83203125"/>
    <col min="4" max="4" width="17.5" customWidth="1"/>
    <col min="5" max="5" width="8.83203125"/>
    <col min="6" max="6" width="16.6640625" customWidth="1"/>
    <col min="7" max="9" width="8.83203125"/>
    <col min="10" max="10" width="12" bestFit="1" customWidth="1"/>
    <col min="11" max="11" width="18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7" t="s">
        <v>6</v>
      </c>
      <c r="K1" s="1" t="s">
        <v>7</v>
      </c>
    </row>
    <row r="2" spans="1:11" x14ac:dyDescent="0.2">
      <c r="A2">
        <v>1</v>
      </c>
      <c r="B2">
        <v>10</v>
      </c>
      <c r="C2">
        <v>0</v>
      </c>
      <c r="D2">
        <v>40</v>
      </c>
      <c r="E2">
        <v>0</v>
      </c>
      <c r="G2">
        <f>(E2*0.81)</f>
        <v>0</v>
      </c>
      <c r="J2" s="2">
        <v>1</v>
      </c>
      <c r="K2" s="1">
        <v>0</v>
      </c>
    </row>
    <row r="3" spans="1:11" x14ac:dyDescent="0.2">
      <c r="A3">
        <v>1</v>
      </c>
      <c r="B3">
        <v>10</v>
      </c>
      <c r="C3">
        <v>1</v>
      </c>
      <c r="D3">
        <v>41</v>
      </c>
      <c r="E3">
        <v>0</v>
      </c>
      <c r="G3">
        <f>(E3*0.81)</f>
        <v>0</v>
      </c>
      <c r="J3" s="3">
        <v>2</v>
      </c>
      <c r="K3" s="4">
        <v>0</v>
      </c>
    </row>
    <row r="4" spans="1:11" x14ac:dyDescent="0.2">
      <c r="A4">
        <v>1</v>
      </c>
      <c r="B4">
        <v>10</v>
      </c>
      <c r="C4">
        <v>2</v>
      </c>
      <c r="D4">
        <v>42</v>
      </c>
      <c r="E4">
        <v>0</v>
      </c>
      <c r="G4">
        <f>(E4*0.81)</f>
        <v>0</v>
      </c>
      <c r="J4" s="3">
        <v>3</v>
      </c>
      <c r="K4" s="4">
        <v>0</v>
      </c>
    </row>
    <row r="5" spans="1:11" x14ac:dyDescent="0.2">
      <c r="A5">
        <v>1</v>
      </c>
      <c r="B5">
        <v>10</v>
      </c>
      <c r="C5">
        <v>3</v>
      </c>
      <c r="D5">
        <v>43</v>
      </c>
      <c r="E5">
        <v>0</v>
      </c>
      <c r="G5">
        <f>(E5*0.81)</f>
        <v>0</v>
      </c>
      <c r="J5" s="3">
        <v>4</v>
      </c>
      <c r="K5" s="4">
        <v>0</v>
      </c>
    </row>
    <row r="6" spans="1:11" x14ac:dyDescent="0.2">
      <c r="A6">
        <v>1</v>
      </c>
      <c r="B6">
        <v>10</v>
      </c>
      <c r="C6">
        <v>4</v>
      </c>
      <c r="D6">
        <v>44</v>
      </c>
      <c r="E6">
        <v>0</v>
      </c>
      <c r="G6">
        <f>(E6*0.81)</f>
        <v>0</v>
      </c>
      <c r="J6" s="3">
        <v>5</v>
      </c>
      <c r="K6" s="4">
        <v>0</v>
      </c>
    </row>
    <row r="7" spans="1:11" x14ac:dyDescent="0.2">
      <c r="A7">
        <v>1</v>
      </c>
      <c r="B7">
        <v>10</v>
      </c>
      <c r="C7">
        <v>5</v>
      </c>
      <c r="D7">
        <v>45</v>
      </c>
      <c r="E7">
        <v>0</v>
      </c>
      <c r="G7">
        <f>(E7*0.81)</f>
        <v>0</v>
      </c>
      <c r="J7" s="3">
        <v>6</v>
      </c>
      <c r="K7" s="4">
        <v>0</v>
      </c>
    </row>
    <row r="8" spans="1:11" x14ac:dyDescent="0.2">
      <c r="A8">
        <v>1</v>
      </c>
      <c r="B8">
        <v>10</v>
      </c>
      <c r="C8">
        <v>6</v>
      </c>
      <c r="D8">
        <v>46</v>
      </c>
      <c r="E8">
        <v>0</v>
      </c>
      <c r="G8">
        <f>(E8*0.81)</f>
        <v>0</v>
      </c>
      <c r="J8" s="3">
        <v>7</v>
      </c>
      <c r="K8" s="4">
        <v>0</v>
      </c>
    </row>
    <row r="9" spans="1:11" x14ac:dyDescent="0.2">
      <c r="A9">
        <v>1</v>
      </c>
      <c r="B9">
        <v>10</v>
      </c>
      <c r="C9">
        <v>7</v>
      </c>
      <c r="D9">
        <v>47</v>
      </c>
      <c r="E9">
        <v>0</v>
      </c>
      <c r="G9">
        <f>(E9*0.81)</f>
        <v>0</v>
      </c>
      <c r="J9" s="3">
        <v>8</v>
      </c>
      <c r="K9" s="4">
        <v>0</v>
      </c>
    </row>
    <row r="10" spans="1:11" x14ac:dyDescent="0.2">
      <c r="A10">
        <v>1</v>
      </c>
      <c r="B10">
        <v>10</v>
      </c>
      <c r="C10">
        <v>8</v>
      </c>
      <c r="D10">
        <v>48</v>
      </c>
      <c r="E10">
        <v>0</v>
      </c>
      <c r="G10">
        <f>(E10*0.81)</f>
        <v>0</v>
      </c>
      <c r="J10" s="3">
        <v>9</v>
      </c>
      <c r="K10" s="4">
        <v>0</v>
      </c>
    </row>
    <row r="11" spans="1:11" x14ac:dyDescent="0.2">
      <c r="A11">
        <v>1</v>
      </c>
      <c r="B11">
        <v>10</v>
      </c>
      <c r="C11">
        <v>9</v>
      </c>
      <c r="D11">
        <v>49</v>
      </c>
      <c r="E11">
        <v>1</v>
      </c>
      <c r="G11">
        <f>(E11*0.81)</f>
        <v>0.81</v>
      </c>
      <c r="J11" s="3">
        <v>10</v>
      </c>
      <c r="K11" s="4">
        <v>0</v>
      </c>
    </row>
    <row r="12" spans="1:11" x14ac:dyDescent="0.2">
      <c r="A12">
        <v>1</v>
      </c>
      <c r="B12">
        <v>10</v>
      </c>
      <c r="C12">
        <v>10</v>
      </c>
      <c r="D12">
        <v>50</v>
      </c>
      <c r="E12">
        <v>0</v>
      </c>
      <c r="G12">
        <f>(E12*0.81)</f>
        <v>0</v>
      </c>
      <c r="J12" s="3">
        <v>11</v>
      </c>
      <c r="K12" s="4">
        <v>0</v>
      </c>
    </row>
    <row r="13" spans="1:11" x14ac:dyDescent="0.2">
      <c r="A13">
        <v>1</v>
      </c>
      <c r="B13">
        <v>10</v>
      </c>
      <c r="C13">
        <v>11</v>
      </c>
      <c r="D13">
        <v>51</v>
      </c>
      <c r="E13">
        <v>0</v>
      </c>
      <c r="G13">
        <f>(E13*0.81)</f>
        <v>0</v>
      </c>
      <c r="J13" s="3">
        <v>12</v>
      </c>
      <c r="K13" s="4">
        <v>0</v>
      </c>
    </row>
    <row r="14" spans="1:11" x14ac:dyDescent="0.2">
      <c r="A14">
        <v>1</v>
      </c>
      <c r="B14">
        <v>10</v>
      </c>
      <c r="C14">
        <v>12</v>
      </c>
      <c r="D14">
        <v>52</v>
      </c>
      <c r="E14">
        <v>3</v>
      </c>
      <c r="G14">
        <f>(E14*0.81)</f>
        <v>2.4300000000000002</v>
      </c>
      <c r="J14" s="3">
        <v>13</v>
      </c>
      <c r="K14" s="4">
        <v>0</v>
      </c>
    </row>
    <row r="15" spans="1:11" x14ac:dyDescent="0.2">
      <c r="A15">
        <v>1</v>
      </c>
      <c r="B15">
        <v>10</v>
      </c>
      <c r="C15">
        <v>13</v>
      </c>
      <c r="D15">
        <v>53</v>
      </c>
      <c r="E15">
        <v>0</v>
      </c>
      <c r="G15">
        <f>(E15*0.81)</f>
        <v>0</v>
      </c>
      <c r="J15" s="3">
        <v>14</v>
      </c>
      <c r="K15" s="4">
        <v>0</v>
      </c>
    </row>
    <row r="16" spans="1:11" x14ac:dyDescent="0.2">
      <c r="A16">
        <v>1</v>
      </c>
      <c r="B16">
        <v>10</v>
      </c>
      <c r="C16">
        <v>14</v>
      </c>
      <c r="D16">
        <v>54</v>
      </c>
      <c r="E16">
        <v>0</v>
      </c>
      <c r="G16">
        <f>(E16*0.81)</f>
        <v>0</v>
      </c>
      <c r="J16" s="3">
        <v>15</v>
      </c>
      <c r="K16" s="4">
        <v>0</v>
      </c>
    </row>
    <row r="17" spans="1:11" x14ac:dyDescent="0.2">
      <c r="A17">
        <v>1</v>
      </c>
      <c r="B17">
        <v>10</v>
      </c>
      <c r="C17">
        <v>15</v>
      </c>
      <c r="D17">
        <v>55</v>
      </c>
      <c r="E17">
        <v>0</v>
      </c>
      <c r="G17">
        <f>(E17*0.81)</f>
        <v>0</v>
      </c>
      <c r="J17" s="3">
        <v>16</v>
      </c>
      <c r="K17" s="4">
        <v>0</v>
      </c>
    </row>
    <row r="18" spans="1:11" x14ac:dyDescent="0.2">
      <c r="A18">
        <v>1</v>
      </c>
      <c r="B18">
        <v>10</v>
      </c>
      <c r="C18">
        <v>16</v>
      </c>
      <c r="D18">
        <v>56</v>
      </c>
      <c r="E18">
        <v>1</v>
      </c>
      <c r="G18">
        <f>(E18*0.81)</f>
        <v>0.81</v>
      </c>
      <c r="J18" s="3">
        <v>17</v>
      </c>
      <c r="K18" s="4">
        <v>0</v>
      </c>
    </row>
    <row r="19" spans="1:11" x14ac:dyDescent="0.2">
      <c r="A19">
        <v>1</v>
      </c>
      <c r="B19">
        <v>10</v>
      </c>
      <c r="C19">
        <v>17</v>
      </c>
      <c r="D19">
        <v>57</v>
      </c>
      <c r="E19">
        <v>0</v>
      </c>
      <c r="G19">
        <f>(E19*0.81)</f>
        <v>0</v>
      </c>
      <c r="J19" s="3">
        <v>18</v>
      </c>
      <c r="K19" s="4">
        <v>0</v>
      </c>
    </row>
    <row r="20" spans="1:11" x14ac:dyDescent="0.2">
      <c r="A20">
        <v>1</v>
      </c>
      <c r="B20">
        <v>10</v>
      </c>
      <c r="C20">
        <v>18</v>
      </c>
      <c r="D20">
        <v>58</v>
      </c>
      <c r="E20">
        <v>0</v>
      </c>
      <c r="G20">
        <f>(E20*0.81)</f>
        <v>0</v>
      </c>
      <c r="J20" s="3">
        <v>19</v>
      </c>
      <c r="K20" s="4">
        <v>0</v>
      </c>
    </row>
    <row r="21" spans="1:11" x14ac:dyDescent="0.2">
      <c r="A21">
        <v>1</v>
      </c>
      <c r="B21">
        <v>10</v>
      </c>
      <c r="C21">
        <v>19</v>
      </c>
      <c r="D21">
        <v>59</v>
      </c>
      <c r="E21">
        <v>2</v>
      </c>
      <c r="G21">
        <f>(E21*0.81)</f>
        <v>1.62</v>
      </c>
      <c r="J21" s="3">
        <v>20</v>
      </c>
      <c r="K21" s="4">
        <v>0</v>
      </c>
    </row>
    <row r="22" spans="1:11" x14ac:dyDescent="0.2">
      <c r="A22">
        <v>1</v>
      </c>
      <c r="B22">
        <v>10</v>
      </c>
      <c r="C22">
        <v>20</v>
      </c>
      <c r="D22">
        <v>60</v>
      </c>
      <c r="E22">
        <v>0</v>
      </c>
      <c r="G22">
        <f>(E22*0.81)</f>
        <v>0</v>
      </c>
      <c r="J22" s="3">
        <v>21</v>
      </c>
      <c r="K22" s="4">
        <v>0</v>
      </c>
    </row>
    <row r="23" spans="1:11" x14ac:dyDescent="0.2">
      <c r="A23">
        <v>1</v>
      </c>
      <c r="B23">
        <v>10</v>
      </c>
      <c r="C23">
        <v>21</v>
      </c>
      <c r="D23">
        <v>61</v>
      </c>
      <c r="E23">
        <v>0</v>
      </c>
      <c r="G23">
        <f>(E23*0.81)</f>
        <v>0</v>
      </c>
      <c r="J23" s="3">
        <v>22</v>
      </c>
      <c r="K23" s="4">
        <v>0</v>
      </c>
    </row>
    <row r="24" spans="1:11" x14ac:dyDescent="0.2">
      <c r="A24">
        <v>1</v>
      </c>
      <c r="B24">
        <v>10</v>
      </c>
      <c r="C24">
        <v>22</v>
      </c>
      <c r="D24">
        <v>62</v>
      </c>
      <c r="E24">
        <v>0</v>
      </c>
      <c r="G24">
        <f>(E24*0.81)</f>
        <v>0</v>
      </c>
      <c r="J24" s="3">
        <v>23</v>
      </c>
      <c r="K24" s="4">
        <v>0</v>
      </c>
    </row>
    <row r="25" spans="1:11" x14ac:dyDescent="0.2">
      <c r="A25">
        <v>1</v>
      </c>
      <c r="B25">
        <v>10</v>
      </c>
      <c r="C25">
        <v>23</v>
      </c>
      <c r="D25">
        <v>63</v>
      </c>
      <c r="E25">
        <v>0</v>
      </c>
      <c r="G25">
        <f>(E25*0.81)</f>
        <v>0</v>
      </c>
      <c r="J25" s="3">
        <v>24</v>
      </c>
      <c r="K25" s="4">
        <v>0</v>
      </c>
    </row>
    <row r="26" spans="1:11" x14ac:dyDescent="0.2">
      <c r="A26">
        <v>1</v>
      </c>
      <c r="B26">
        <v>10</v>
      </c>
      <c r="C26">
        <v>24</v>
      </c>
      <c r="D26">
        <v>64</v>
      </c>
      <c r="E26">
        <v>0</v>
      </c>
      <c r="G26">
        <f>(E26*0.81)</f>
        <v>0</v>
      </c>
      <c r="J26" s="3">
        <v>25</v>
      </c>
      <c r="K26" s="4">
        <v>0</v>
      </c>
    </row>
    <row r="27" spans="1:11" x14ac:dyDescent="0.2">
      <c r="A27">
        <v>1</v>
      </c>
      <c r="B27">
        <v>10</v>
      </c>
      <c r="C27">
        <v>25</v>
      </c>
      <c r="D27">
        <v>65</v>
      </c>
      <c r="E27">
        <v>0</v>
      </c>
      <c r="G27">
        <f>(E27*0.81)</f>
        <v>0</v>
      </c>
      <c r="J27" s="3">
        <v>26</v>
      </c>
      <c r="K27" s="4">
        <v>0</v>
      </c>
    </row>
    <row r="28" spans="1:11" x14ac:dyDescent="0.2">
      <c r="A28">
        <v>1</v>
      </c>
      <c r="B28">
        <v>10</v>
      </c>
      <c r="C28">
        <v>26</v>
      </c>
      <c r="D28">
        <v>66</v>
      </c>
      <c r="E28">
        <v>0</v>
      </c>
      <c r="G28">
        <f>(E28*0.81)</f>
        <v>0</v>
      </c>
      <c r="J28" s="3">
        <v>27</v>
      </c>
      <c r="K28" s="4">
        <v>0</v>
      </c>
    </row>
    <row r="29" spans="1:11" x14ac:dyDescent="0.2">
      <c r="A29">
        <v>1</v>
      </c>
      <c r="B29">
        <v>10</v>
      </c>
      <c r="C29">
        <v>27</v>
      </c>
      <c r="D29">
        <v>67</v>
      </c>
      <c r="E29">
        <v>0</v>
      </c>
      <c r="G29">
        <f>(E29*0.81)</f>
        <v>0</v>
      </c>
      <c r="J29" s="3">
        <v>28</v>
      </c>
      <c r="K29" s="4">
        <v>0</v>
      </c>
    </row>
    <row r="30" spans="1:11" x14ac:dyDescent="0.2">
      <c r="A30">
        <v>1</v>
      </c>
      <c r="B30">
        <v>10</v>
      </c>
      <c r="C30">
        <v>28</v>
      </c>
      <c r="D30">
        <v>68</v>
      </c>
      <c r="E30">
        <v>0</v>
      </c>
      <c r="G30">
        <f>(E30*0.81)</f>
        <v>0</v>
      </c>
      <c r="J30" s="3">
        <v>29</v>
      </c>
      <c r="K30" s="4">
        <v>0</v>
      </c>
    </row>
    <row r="31" spans="1:11" x14ac:dyDescent="0.2">
      <c r="A31">
        <v>1</v>
      </c>
      <c r="B31">
        <v>10</v>
      </c>
      <c r="C31">
        <v>29</v>
      </c>
      <c r="D31">
        <v>69</v>
      </c>
      <c r="E31">
        <v>0</v>
      </c>
      <c r="G31">
        <f>(E31*0.81)</f>
        <v>0</v>
      </c>
      <c r="J31" s="3">
        <v>30</v>
      </c>
      <c r="K31" s="4">
        <v>0</v>
      </c>
    </row>
    <row r="32" spans="1:11" x14ac:dyDescent="0.2">
      <c r="A32">
        <v>1</v>
      </c>
      <c r="B32">
        <v>10</v>
      </c>
      <c r="C32">
        <v>30</v>
      </c>
      <c r="D32">
        <v>70</v>
      </c>
      <c r="E32">
        <v>0</v>
      </c>
      <c r="G32">
        <f>(E32*0.81)</f>
        <v>0</v>
      </c>
      <c r="J32" s="3">
        <v>31</v>
      </c>
      <c r="K32" s="4">
        <v>0</v>
      </c>
    </row>
    <row r="33" spans="1:11" x14ac:dyDescent="0.2">
      <c r="A33">
        <v>1</v>
      </c>
      <c r="B33">
        <v>10</v>
      </c>
      <c r="C33">
        <v>31</v>
      </c>
      <c r="D33">
        <v>71</v>
      </c>
      <c r="E33">
        <v>0</v>
      </c>
      <c r="G33">
        <f>(E33*0.81)</f>
        <v>0</v>
      </c>
      <c r="J33" s="3">
        <v>32</v>
      </c>
      <c r="K33" s="4">
        <v>0</v>
      </c>
    </row>
    <row r="34" spans="1:11" x14ac:dyDescent="0.2">
      <c r="A34">
        <v>1</v>
      </c>
      <c r="B34">
        <v>10</v>
      </c>
      <c r="C34">
        <v>32</v>
      </c>
      <c r="D34">
        <v>72</v>
      </c>
      <c r="E34">
        <v>0</v>
      </c>
      <c r="G34">
        <f>(E34*0.81)</f>
        <v>0</v>
      </c>
      <c r="J34" s="3">
        <v>33</v>
      </c>
      <c r="K34" s="4">
        <v>0</v>
      </c>
    </row>
    <row r="35" spans="1:11" x14ac:dyDescent="0.2">
      <c r="A35">
        <v>1</v>
      </c>
      <c r="B35">
        <v>10</v>
      </c>
      <c r="C35">
        <v>33</v>
      </c>
      <c r="D35">
        <v>73</v>
      </c>
      <c r="E35">
        <v>0</v>
      </c>
      <c r="G35">
        <f>(E35*0.81)</f>
        <v>0</v>
      </c>
      <c r="J35" s="3">
        <v>34</v>
      </c>
      <c r="K35" s="4">
        <v>0</v>
      </c>
    </row>
    <row r="36" spans="1:11" x14ac:dyDescent="0.2">
      <c r="A36">
        <v>1</v>
      </c>
      <c r="B36">
        <v>10</v>
      </c>
      <c r="C36">
        <v>34</v>
      </c>
      <c r="D36">
        <v>74</v>
      </c>
      <c r="E36">
        <v>0</v>
      </c>
      <c r="G36">
        <f>(E36*0.81)</f>
        <v>0</v>
      </c>
      <c r="J36" s="3">
        <v>35</v>
      </c>
      <c r="K36" s="4">
        <v>0</v>
      </c>
    </row>
    <row r="37" spans="1:11" x14ac:dyDescent="0.2">
      <c r="A37">
        <v>1</v>
      </c>
      <c r="B37">
        <v>10</v>
      </c>
      <c r="C37">
        <v>35</v>
      </c>
      <c r="D37">
        <v>75</v>
      </c>
      <c r="E37">
        <v>0</v>
      </c>
      <c r="G37">
        <f>(E37*0.81)</f>
        <v>0</v>
      </c>
      <c r="J37" s="3">
        <v>36</v>
      </c>
      <c r="K37" s="4">
        <v>0</v>
      </c>
    </row>
    <row r="38" spans="1:11" x14ac:dyDescent="0.2">
      <c r="A38">
        <v>1</v>
      </c>
      <c r="B38">
        <v>10</v>
      </c>
      <c r="C38">
        <v>36</v>
      </c>
      <c r="D38">
        <v>76</v>
      </c>
      <c r="E38">
        <v>0</v>
      </c>
      <c r="G38">
        <f>(E38*0.81)</f>
        <v>0</v>
      </c>
      <c r="J38" s="3">
        <v>37</v>
      </c>
      <c r="K38" s="4">
        <v>0</v>
      </c>
    </row>
    <row r="39" spans="1:11" x14ac:dyDescent="0.2">
      <c r="A39">
        <v>1</v>
      </c>
      <c r="B39">
        <v>10</v>
      </c>
      <c r="C39">
        <v>37</v>
      </c>
      <c r="D39">
        <v>77</v>
      </c>
      <c r="E39">
        <v>0</v>
      </c>
      <c r="G39">
        <f>(E39*0.81)</f>
        <v>0</v>
      </c>
      <c r="J39" s="3">
        <v>38</v>
      </c>
      <c r="K39" s="4">
        <v>0</v>
      </c>
    </row>
    <row r="40" spans="1:11" x14ac:dyDescent="0.2">
      <c r="A40">
        <v>1</v>
      </c>
      <c r="B40">
        <v>10</v>
      </c>
      <c r="C40">
        <v>38</v>
      </c>
      <c r="D40">
        <v>78</v>
      </c>
      <c r="E40">
        <v>0</v>
      </c>
      <c r="G40">
        <f>(E40*0.81)</f>
        <v>0</v>
      </c>
      <c r="J40" s="3">
        <v>39</v>
      </c>
      <c r="K40" s="4">
        <v>0</v>
      </c>
    </row>
    <row r="41" spans="1:11" x14ac:dyDescent="0.2">
      <c r="A41">
        <v>1</v>
      </c>
      <c r="B41">
        <v>10</v>
      </c>
      <c r="C41">
        <v>39</v>
      </c>
      <c r="D41">
        <v>79</v>
      </c>
      <c r="E41">
        <v>0</v>
      </c>
      <c r="G41">
        <f>(E41*0.81)</f>
        <v>0</v>
      </c>
      <c r="J41" s="3">
        <v>40</v>
      </c>
      <c r="K41" s="4">
        <v>0</v>
      </c>
    </row>
    <row r="42" spans="1:11" x14ac:dyDescent="0.2">
      <c r="A42">
        <v>2</v>
      </c>
      <c r="B42">
        <v>10</v>
      </c>
      <c r="C42">
        <v>0</v>
      </c>
      <c r="D42">
        <v>40</v>
      </c>
      <c r="E42">
        <v>0</v>
      </c>
      <c r="F42">
        <f t="shared" ref="F34:F65" si="0">(E42*0.81)</f>
        <v>0</v>
      </c>
      <c r="J42" s="3">
        <v>41</v>
      </c>
      <c r="K42" s="4">
        <v>0</v>
      </c>
    </row>
    <row r="43" spans="1:11" x14ac:dyDescent="0.2">
      <c r="A43">
        <v>2</v>
      </c>
      <c r="B43">
        <v>10</v>
      </c>
      <c r="C43">
        <v>1</v>
      </c>
      <c r="D43">
        <v>41</v>
      </c>
      <c r="E43">
        <v>0</v>
      </c>
      <c r="F43">
        <f t="shared" si="0"/>
        <v>0</v>
      </c>
      <c r="J43" s="3">
        <v>42</v>
      </c>
      <c r="K43" s="4">
        <v>0</v>
      </c>
    </row>
    <row r="44" spans="1:11" x14ac:dyDescent="0.2">
      <c r="A44">
        <v>2</v>
      </c>
      <c r="B44">
        <v>10</v>
      </c>
      <c r="C44">
        <v>2</v>
      </c>
      <c r="D44">
        <v>42</v>
      </c>
      <c r="E44">
        <v>0</v>
      </c>
      <c r="F44">
        <f t="shared" si="0"/>
        <v>0</v>
      </c>
      <c r="J44" s="3">
        <v>43</v>
      </c>
      <c r="K44" s="4">
        <v>0</v>
      </c>
    </row>
    <row r="45" spans="1:11" x14ac:dyDescent="0.2">
      <c r="A45">
        <v>2</v>
      </c>
      <c r="B45">
        <v>10</v>
      </c>
      <c r="C45">
        <v>3</v>
      </c>
      <c r="D45">
        <v>43</v>
      </c>
      <c r="E45">
        <v>0</v>
      </c>
      <c r="F45">
        <f t="shared" si="0"/>
        <v>0</v>
      </c>
      <c r="J45" s="3">
        <v>44</v>
      </c>
      <c r="K45" s="4">
        <v>0</v>
      </c>
    </row>
    <row r="46" spans="1:11" x14ac:dyDescent="0.2">
      <c r="A46">
        <v>2</v>
      </c>
      <c r="B46">
        <v>10</v>
      </c>
      <c r="C46">
        <v>4</v>
      </c>
      <c r="D46">
        <v>44</v>
      </c>
      <c r="E46">
        <v>0</v>
      </c>
      <c r="F46">
        <f t="shared" si="0"/>
        <v>0</v>
      </c>
      <c r="J46" s="3">
        <v>45</v>
      </c>
      <c r="K46" s="4">
        <v>4.8600000000000003</v>
      </c>
    </row>
    <row r="47" spans="1:11" x14ac:dyDescent="0.2">
      <c r="A47">
        <v>2</v>
      </c>
      <c r="B47">
        <v>10</v>
      </c>
      <c r="C47">
        <v>5</v>
      </c>
      <c r="D47">
        <v>45</v>
      </c>
      <c r="E47">
        <v>0</v>
      </c>
      <c r="F47">
        <f t="shared" si="0"/>
        <v>0</v>
      </c>
      <c r="J47" s="3">
        <v>46</v>
      </c>
      <c r="K47" s="4">
        <v>4.0500000000000007</v>
      </c>
    </row>
    <row r="48" spans="1:11" x14ac:dyDescent="0.2">
      <c r="A48">
        <v>2</v>
      </c>
      <c r="B48">
        <v>10</v>
      </c>
      <c r="C48">
        <v>6</v>
      </c>
      <c r="D48">
        <v>46</v>
      </c>
      <c r="E48">
        <v>1</v>
      </c>
      <c r="F48">
        <f t="shared" si="0"/>
        <v>0.81</v>
      </c>
      <c r="J48" s="3">
        <v>47</v>
      </c>
      <c r="K48" s="4">
        <v>0</v>
      </c>
    </row>
    <row r="49" spans="1:11" x14ac:dyDescent="0.2">
      <c r="A49">
        <v>2</v>
      </c>
      <c r="B49">
        <v>10</v>
      </c>
      <c r="C49">
        <v>7</v>
      </c>
      <c r="D49">
        <v>47</v>
      </c>
      <c r="E49">
        <v>0</v>
      </c>
      <c r="F49">
        <f t="shared" si="0"/>
        <v>0</v>
      </c>
      <c r="J49" s="3">
        <v>48</v>
      </c>
      <c r="K49" s="4">
        <v>0.81</v>
      </c>
    </row>
    <row r="50" spans="1:11" x14ac:dyDescent="0.2">
      <c r="A50">
        <v>2</v>
      </c>
      <c r="B50">
        <v>10</v>
      </c>
      <c r="C50">
        <v>8</v>
      </c>
      <c r="D50">
        <v>48</v>
      </c>
      <c r="E50">
        <v>0</v>
      </c>
      <c r="F50">
        <f t="shared" si="0"/>
        <v>0</v>
      </c>
      <c r="J50" s="3">
        <v>49</v>
      </c>
      <c r="K50" s="4">
        <v>8.9100000000000019</v>
      </c>
    </row>
    <row r="51" spans="1:11" x14ac:dyDescent="0.2">
      <c r="A51">
        <v>2</v>
      </c>
      <c r="B51">
        <v>10</v>
      </c>
      <c r="C51">
        <v>9</v>
      </c>
      <c r="D51">
        <v>49</v>
      </c>
      <c r="E51">
        <v>5</v>
      </c>
      <c r="F51">
        <f t="shared" si="0"/>
        <v>4.0500000000000007</v>
      </c>
      <c r="J51" s="3">
        <v>50</v>
      </c>
      <c r="K51" s="4">
        <v>0</v>
      </c>
    </row>
    <row r="52" spans="1:11" x14ac:dyDescent="0.2">
      <c r="A52">
        <v>2</v>
      </c>
      <c r="B52">
        <v>10</v>
      </c>
      <c r="C52">
        <v>10</v>
      </c>
      <c r="D52">
        <v>50</v>
      </c>
      <c r="E52">
        <v>0</v>
      </c>
      <c r="F52">
        <f t="shared" si="0"/>
        <v>0</v>
      </c>
      <c r="J52" s="3">
        <v>51</v>
      </c>
      <c r="K52" s="4">
        <v>6.4800000000000013</v>
      </c>
    </row>
    <row r="53" spans="1:11" x14ac:dyDescent="0.2">
      <c r="A53">
        <v>2</v>
      </c>
      <c r="B53">
        <v>10</v>
      </c>
      <c r="C53">
        <v>11</v>
      </c>
      <c r="D53">
        <v>51</v>
      </c>
      <c r="E53">
        <v>0</v>
      </c>
      <c r="F53">
        <f t="shared" si="0"/>
        <v>0</v>
      </c>
      <c r="J53" s="3">
        <v>52</v>
      </c>
      <c r="K53" s="4">
        <v>5.67</v>
      </c>
    </row>
    <row r="54" spans="1:11" x14ac:dyDescent="0.2">
      <c r="A54">
        <v>2</v>
      </c>
      <c r="B54">
        <v>10</v>
      </c>
      <c r="C54">
        <v>12</v>
      </c>
      <c r="D54">
        <v>52</v>
      </c>
      <c r="E54">
        <v>4</v>
      </c>
      <c r="F54">
        <f t="shared" si="0"/>
        <v>3.24</v>
      </c>
      <c r="J54" s="3">
        <v>53</v>
      </c>
      <c r="K54" s="4">
        <v>0</v>
      </c>
    </row>
    <row r="55" spans="1:11" x14ac:dyDescent="0.2">
      <c r="A55">
        <v>2</v>
      </c>
      <c r="B55">
        <v>10</v>
      </c>
      <c r="C55">
        <v>13</v>
      </c>
      <c r="D55">
        <v>53</v>
      </c>
      <c r="E55">
        <v>0</v>
      </c>
      <c r="F55">
        <f t="shared" si="0"/>
        <v>0</v>
      </c>
      <c r="J55" s="3">
        <v>54</v>
      </c>
      <c r="K55" s="4">
        <v>5.67</v>
      </c>
    </row>
    <row r="56" spans="1:11" x14ac:dyDescent="0.2">
      <c r="A56">
        <v>2</v>
      </c>
      <c r="B56">
        <v>10</v>
      </c>
      <c r="C56">
        <v>14</v>
      </c>
      <c r="D56">
        <v>54</v>
      </c>
      <c r="E56">
        <v>0</v>
      </c>
      <c r="F56">
        <f t="shared" si="0"/>
        <v>0</v>
      </c>
      <c r="J56" s="3">
        <v>55</v>
      </c>
      <c r="K56" s="4">
        <v>4.0500000000000007</v>
      </c>
    </row>
    <row r="57" spans="1:11" x14ac:dyDescent="0.2">
      <c r="A57">
        <v>2</v>
      </c>
      <c r="B57">
        <v>10</v>
      </c>
      <c r="C57">
        <v>15</v>
      </c>
      <c r="D57">
        <v>55</v>
      </c>
      <c r="E57">
        <v>0</v>
      </c>
      <c r="F57">
        <f t="shared" si="0"/>
        <v>0</v>
      </c>
      <c r="J57" s="3">
        <v>56</v>
      </c>
      <c r="K57" s="4">
        <v>1.62</v>
      </c>
    </row>
    <row r="58" spans="1:11" x14ac:dyDescent="0.2">
      <c r="A58">
        <v>2</v>
      </c>
      <c r="B58">
        <v>10</v>
      </c>
      <c r="C58">
        <v>16</v>
      </c>
      <c r="D58">
        <v>56</v>
      </c>
      <c r="E58">
        <v>0</v>
      </c>
      <c r="F58">
        <f t="shared" si="0"/>
        <v>0</v>
      </c>
      <c r="J58" s="3">
        <v>57</v>
      </c>
      <c r="K58" s="4">
        <v>4.0500000000000007</v>
      </c>
    </row>
    <row r="59" spans="1:11" x14ac:dyDescent="0.2">
      <c r="A59">
        <v>2</v>
      </c>
      <c r="B59">
        <v>10</v>
      </c>
      <c r="C59">
        <v>17</v>
      </c>
      <c r="D59">
        <v>57</v>
      </c>
      <c r="E59">
        <v>0</v>
      </c>
      <c r="F59">
        <f t="shared" si="0"/>
        <v>0</v>
      </c>
      <c r="J59" s="3">
        <v>58</v>
      </c>
      <c r="K59" s="4">
        <v>0</v>
      </c>
    </row>
    <row r="60" spans="1:11" x14ac:dyDescent="0.2">
      <c r="A60">
        <v>2</v>
      </c>
      <c r="B60">
        <v>10</v>
      </c>
      <c r="C60">
        <v>18</v>
      </c>
      <c r="D60">
        <v>58</v>
      </c>
      <c r="E60">
        <v>0</v>
      </c>
      <c r="F60">
        <f t="shared" si="0"/>
        <v>0</v>
      </c>
      <c r="J60" s="3">
        <v>59</v>
      </c>
      <c r="K60" s="4">
        <v>1.62</v>
      </c>
    </row>
    <row r="61" spans="1:11" x14ac:dyDescent="0.2">
      <c r="A61">
        <v>2</v>
      </c>
      <c r="B61">
        <v>10</v>
      </c>
      <c r="C61">
        <v>19</v>
      </c>
      <c r="D61">
        <v>59</v>
      </c>
      <c r="E61">
        <v>0</v>
      </c>
      <c r="F61">
        <f t="shared" si="0"/>
        <v>0</v>
      </c>
      <c r="J61" s="3">
        <v>60</v>
      </c>
      <c r="K61" s="4">
        <v>4.8600000000000003</v>
      </c>
    </row>
    <row r="62" spans="1:11" x14ac:dyDescent="0.2">
      <c r="A62">
        <v>2</v>
      </c>
      <c r="B62">
        <v>10</v>
      </c>
      <c r="C62">
        <v>20</v>
      </c>
      <c r="D62">
        <v>60</v>
      </c>
      <c r="E62">
        <v>0</v>
      </c>
      <c r="F62">
        <f t="shared" si="0"/>
        <v>0</v>
      </c>
      <c r="J62" s="3">
        <v>61</v>
      </c>
      <c r="K62" s="4">
        <v>0</v>
      </c>
    </row>
    <row r="63" spans="1:11" x14ac:dyDescent="0.2">
      <c r="A63">
        <v>2</v>
      </c>
      <c r="B63">
        <v>10</v>
      </c>
      <c r="C63">
        <v>21</v>
      </c>
      <c r="D63">
        <v>61</v>
      </c>
      <c r="E63">
        <v>0</v>
      </c>
      <c r="F63">
        <f t="shared" si="0"/>
        <v>0</v>
      </c>
      <c r="J63" s="3">
        <v>62</v>
      </c>
      <c r="K63" s="4">
        <v>0</v>
      </c>
    </row>
    <row r="64" spans="1:11" x14ac:dyDescent="0.2">
      <c r="A64">
        <v>2</v>
      </c>
      <c r="B64">
        <v>10</v>
      </c>
      <c r="C64">
        <v>22</v>
      </c>
      <c r="D64">
        <v>62</v>
      </c>
      <c r="E64">
        <v>0</v>
      </c>
      <c r="F64">
        <f t="shared" si="0"/>
        <v>0</v>
      </c>
      <c r="J64" s="3">
        <v>63</v>
      </c>
      <c r="K64" s="4">
        <v>1.62</v>
      </c>
    </row>
    <row r="65" spans="1:11" x14ac:dyDescent="0.2">
      <c r="A65">
        <v>2</v>
      </c>
      <c r="B65">
        <v>10</v>
      </c>
      <c r="C65">
        <v>23</v>
      </c>
      <c r="D65">
        <v>63</v>
      </c>
      <c r="E65">
        <v>0</v>
      </c>
      <c r="F65">
        <f t="shared" si="0"/>
        <v>0</v>
      </c>
      <c r="J65" s="3">
        <v>64</v>
      </c>
      <c r="K65" s="4">
        <v>0.81</v>
      </c>
    </row>
    <row r="66" spans="1:11" x14ac:dyDescent="0.2">
      <c r="A66">
        <v>2</v>
      </c>
      <c r="B66">
        <v>10</v>
      </c>
      <c r="C66">
        <v>24</v>
      </c>
      <c r="D66">
        <v>64</v>
      </c>
      <c r="E66">
        <v>0</v>
      </c>
      <c r="F66">
        <f t="shared" ref="F66:F81" si="1">(E66*0.81)</f>
        <v>0</v>
      </c>
      <c r="J66" s="3">
        <v>65</v>
      </c>
      <c r="K66" s="4">
        <v>0</v>
      </c>
    </row>
    <row r="67" spans="1:11" x14ac:dyDescent="0.2">
      <c r="A67">
        <v>2</v>
      </c>
      <c r="B67">
        <v>10</v>
      </c>
      <c r="C67">
        <v>25</v>
      </c>
      <c r="D67">
        <v>65</v>
      </c>
      <c r="E67">
        <v>0</v>
      </c>
      <c r="F67">
        <f t="shared" si="1"/>
        <v>0</v>
      </c>
      <c r="J67" s="3">
        <v>66</v>
      </c>
      <c r="K67" s="4">
        <v>0</v>
      </c>
    </row>
    <row r="68" spans="1:11" x14ac:dyDescent="0.2">
      <c r="A68">
        <v>2</v>
      </c>
      <c r="B68">
        <v>10</v>
      </c>
      <c r="C68">
        <v>26</v>
      </c>
      <c r="D68">
        <v>66</v>
      </c>
      <c r="E68">
        <v>0</v>
      </c>
      <c r="F68">
        <f t="shared" si="1"/>
        <v>0</v>
      </c>
      <c r="J68" s="3">
        <v>67</v>
      </c>
      <c r="K68" s="4">
        <v>0</v>
      </c>
    </row>
    <row r="69" spans="1:11" x14ac:dyDescent="0.2">
      <c r="A69">
        <v>2</v>
      </c>
      <c r="B69">
        <v>10</v>
      </c>
      <c r="C69">
        <v>27</v>
      </c>
      <c r="D69">
        <v>67</v>
      </c>
      <c r="E69">
        <v>0</v>
      </c>
      <c r="F69">
        <f t="shared" si="1"/>
        <v>0</v>
      </c>
      <c r="J69" s="3">
        <v>68</v>
      </c>
      <c r="K69" s="4">
        <v>0.81</v>
      </c>
    </row>
    <row r="70" spans="1:11" x14ac:dyDescent="0.2">
      <c r="A70">
        <v>2</v>
      </c>
      <c r="B70">
        <v>10</v>
      </c>
      <c r="C70">
        <v>28</v>
      </c>
      <c r="D70">
        <v>68</v>
      </c>
      <c r="E70">
        <v>0</v>
      </c>
      <c r="F70">
        <f t="shared" si="1"/>
        <v>0</v>
      </c>
      <c r="J70" s="3">
        <v>69</v>
      </c>
      <c r="K70" s="4">
        <v>0</v>
      </c>
    </row>
    <row r="71" spans="1:11" x14ac:dyDescent="0.2">
      <c r="A71">
        <v>2</v>
      </c>
      <c r="B71">
        <v>10</v>
      </c>
      <c r="C71">
        <v>29</v>
      </c>
      <c r="D71">
        <v>69</v>
      </c>
      <c r="E71">
        <v>0</v>
      </c>
      <c r="F71">
        <f t="shared" si="1"/>
        <v>0</v>
      </c>
      <c r="J71" s="3">
        <v>70</v>
      </c>
      <c r="K71" s="4">
        <v>2.4300000000000002</v>
      </c>
    </row>
    <row r="72" spans="1:11" x14ac:dyDescent="0.2">
      <c r="A72">
        <v>2</v>
      </c>
      <c r="B72">
        <v>10</v>
      </c>
      <c r="C72">
        <v>30</v>
      </c>
      <c r="D72">
        <v>70</v>
      </c>
      <c r="E72">
        <v>0</v>
      </c>
      <c r="F72">
        <f t="shared" si="1"/>
        <v>0</v>
      </c>
      <c r="J72" s="3">
        <v>71</v>
      </c>
      <c r="K72" s="4">
        <v>0</v>
      </c>
    </row>
    <row r="73" spans="1:11" x14ac:dyDescent="0.2">
      <c r="A73">
        <v>2</v>
      </c>
      <c r="B73">
        <v>10</v>
      </c>
      <c r="C73">
        <v>31</v>
      </c>
      <c r="D73">
        <v>71</v>
      </c>
      <c r="E73">
        <v>0</v>
      </c>
      <c r="F73">
        <f t="shared" si="1"/>
        <v>0</v>
      </c>
      <c r="J73" s="3">
        <v>72</v>
      </c>
      <c r="K73" s="4">
        <v>0</v>
      </c>
    </row>
    <row r="74" spans="1:11" x14ac:dyDescent="0.2">
      <c r="A74">
        <v>2</v>
      </c>
      <c r="B74">
        <v>10</v>
      </c>
      <c r="C74">
        <v>32</v>
      </c>
      <c r="D74">
        <v>72</v>
      </c>
      <c r="E74">
        <v>0</v>
      </c>
      <c r="F74">
        <f t="shared" si="1"/>
        <v>0</v>
      </c>
      <c r="J74" s="3">
        <v>73</v>
      </c>
      <c r="K74" s="4">
        <v>0</v>
      </c>
    </row>
    <row r="75" spans="1:11" x14ac:dyDescent="0.2">
      <c r="A75">
        <v>2</v>
      </c>
      <c r="B75">
        <v>10</v>
      </c>
      <c r="C75">
        <v>33</v>
      </c>
      <c r="D75">
        <v>73</v>
      </c>
      <c r="E75">
        <v>0</v>
      </c>
      <c r="F75">
        <f t="shared" si="1"/>
        <v>0</v>
      </c>
      <c r="J75" s="3">
        <v>74</v>
      </c>
      <c r="K75" s="4">
        <v>0</v>
      </c>
    </row>
    <row r="76" spans="1:11" x14ac:dyDescent="0.2">
      <c r="A76">
        <v>2</v>
      </c>
      <c r="B76">
        <v>10</v>
      </c>
      <c r="C76">
        <v>34</v>
      </c>
      <c r="D76">
        <v>74</v>
      </c>
      <c r="E76">
        <v>0</v>
      </c>
      <c r="F76">
        <f t="shared" si="1"/>
        <v>0</v>
      </c>
      <c r="J76" s="3">
        <v>75</v>
      </c>
      <c r="K76" s="4">
        <v>0</v>
      </c>
    </row>
    <row r="77" spans="1:11" x14ac:dyDescent="0.2">
      <c r="A77">
        <v>2</v>
      </c>
      <c r="B77">
        <v>10</v>
      </c>
      <c r="C77">
        <v>35</v>
      </c>
      <c r="D77">
        <v>75</v>
      </c>
      <c r="E77">
        <v>0</v>
      </c>
      <c r="F77">
        <f t="shared" si="1"/>
        <v>0</v>
      </c>
      <c r="J77" s="3">
        <v>76</v>
      </c>
      <c r="K77" s="4">
        <v>0</v>
      </c>
    </row>
    <row r="78" spans="1:11" x14ac:dyDescent="0.2">
      <c r="A78">
        <v>2</v>
      </c>
      <c r="B78">
        <v>10</v>
      </c>
      <c r="C78">
        <v>36</v>
      </c>
      <c r="D78">
        <v>76</v>
      </c>
      <c r="E78">
        <v>0</v>
      </c>
      <c r="F78">
        <f t="shared" si="1"/>
        <v>0</v>
      </c>
      <c r="J78" s="3">
        <v>77</v>
      </c>
      <c r="K78" s="4">
        <v>0</v>
      </c>
    </row>
    <row r="79" spans="1:11" x14ac:dyDescent="0.2">
      <c r="A79">
        <v>2</v>
      </c>
      <c r="B79">
        <v>10</v>
      </c>
      <c r="C79">
        <v>37</v>
      </c>
      <c r="D79">
        <v>77</v>
      </c>
      <c r="E79">
        <v>0</v>
      </c>
      <c r="F79">
        <f t="shared" si="1"/>
        <v>0</v>
      </c>
      <c r="J79" s="3">
        <v>78</v>
      </c>
      <c r="K79" s="4">
        <v>0</v>
      </c>
    </row>
    <row r="80" spans="1:11" x14ac:dyDescent="0.2">
      <c r="A80">
        <v>2</v>
      </c>
      <c r="B80">
        <v>10</v>
      </c>
      <c r="C80">
        <v>38</v>
      </c>
      <c r="D80">
        <v>78</v>
      </c>
      <c r="E80">
        <v>0</v>
      </c>
      <c r="F80">
        <f t="shared" si="1"/>
        <v>0</v>
      </c>
      <c r="J80" s="3">
        <v>79</v>
      </c>
      <c r="K80" s="4">
        <v>0</v>
      </c>
    </row>
    <row r="81" spans="1:11" x14ac:dyDescent="0.2">
      <c r="A81">
        <v>2</v>
      </c>
      <c r="B81">
        <v>10</v>
      </c>
      <c r="C81">
        <v>39</v>
      </c>
      <c r="D81">
        <v>79</v>
      </c>
      <c r="E81">
        <v>0</v>
      </c>
      <c r="F81">
        <f t="shared" si="1"/>
        <v>0</v>
      </c>
      <c r="J81" s="5" t="s">
        <v>8</v>
      </c>
      <c r="K81" s="6">
        <v>58.320000000000007</v>
      </c>
    </row>
    <row r="82" spans="1:11" x14ac:dyDescent="0.2">
      <c r="A82">
        <v>3</v>
      </c>
      <c r="B82">
        <v>10</v>
      </c>
      <c r="C82">
        <v>0</v>
      </c>
      <c r="D82">
        <v>40</v>
      </c>
      <c r="E82">
        <v>0</v>
      </c>
      <c r="F82">
        <f t="shared" ref="F82:F145" si="2">(E82*0.81)</f>
        <v>0</v>
      </c>
    </row>
    <row r="83" spans="1:11" x14ac:dyDescent="0.2">
      <c r="A83">
        <v>3</v>
      </c>
      <c r="B83">
        <v>10</v>
      </c>
      <c r="C83">
        <v>1</v>
      </c>
      <c r="D83">
        <v>41</v>
      </c>
      <c r="E83">
        <v>0</v>
      </c>
      <c r="F83">
        <f t="shared" si="2"/>
        <v>0</v>
      </c>
    </row>
    <row r="84" spans="1:11" x14ac:dyDescent="0.2">
      <c r="A84">
        <v>3</v>
      </c>
      <c r="B84">
        <v>10</v>
      </c>
      <c r="C84">
        <v>2</v>
      </c>
      <c r="D84">
        <v>42</v>
      </c>
      <c r="E84">
        <v>0</v>
      </c>
      <c r="F84">
        <f t="shared" si="2"/>
        <v>0</v>
      </c>
    </row>
    <row r="85" spans="1:11" x14ac:dyDescent="0.2">
      <c r="A85">
        <v>3</v>
      </c>
      <c r="B85">
        <v>10</v>
      </c>
      <c r="C85">
        <v>3</v>
      </c>
      <c r="D85">
        <v>43</v>
      </c>
      <c r="E85">
        <v>0</v>
      </c>
      <c r="F85">
        <f t="shared" si="2"/>
        <v>0</v>
      </c>
    </row>
    <row r="86" spans="1:11" x14ac:dyDescent="0.2">
      <c r="A86">
        <v>3</v>
      </c>
      <c r="B86">
        <v>10</v>
      </c>
      <c r="C86">
        <v>4</v>
      </c>
      <c r="D86">
        <v>44</v>
      </c>
      <c r="E86">
        <v>0</v>
      </c>
      <c r="F86">
        <f t="shared" si="2"/>
        <v>0</v>
      </c>
    </row>
    <row r="87" spans="1:11" x14ac:dyDescent="0.2">
      <c r="A87">
        <v>3</v>
      </c>
      <c r="B87">
        <v>10</v>
      </c>
      <c r="C87">
        <v>5</v>
      </c>
      <c r="D87">
        <v>45</v>
      </c>
      <c r="E87">
        <v>0</v>
      </c>
      <c r="F87">
        <f t="shared" si="2"/>
        <v>0</v>
      </c>
    </row>
    <row r="88" spans="1:11" x14ac:dyDescent="0.2">
      <c r="A88">
        <v>3</v>
      </c>
      <c r="B88">
        <v>10</v>
      </c>
      <c r="C88">
        <v>6</v>
      </c>
      <c r="D88">
        <v>46</v>
      </c>
      <c r="E88">
        <v>3</v>
      </c>
      <c r="F88">
        <f t="shared" si="2"/>
        <v>2.4300000000000002</v>
      </c>
    </row>
    <row r="89" spans="1:11" x14ac:dyDescent="0.2">
      <c r="A89">
        <v>3</v>
      </c>
      <c r="B89">
        <v>10</v>
      </c>
      <c r="C89">
        <v>7</v>
      </c>
      <c r="D89">
        <v>47</v>
      </c>
      <c r="E89">
        <v>0</v>
      </c>
      <c r="F89">
        <f t="shared" si="2"/>
        <v>0</v>
      </c>
    </row>
    <row r="90" spans="1:11" x14ac:dyDescent="0.2">
      <c r="A90">
        <v>3</v>
      </c>
      <c r="B90">
        <v>10</v>
      </c>
      <c r="C90">
        <v>8</v>
      </c>
      <c r="D90">
        <v>48</v>
      </c>
      <c r="E90">
        <v>0</v>
      </c>
      <c r="F90">
        <f t="shared" si="2"/>
        <v>0</v>
      </c>
    </row>
    <row r="91" spans="1:11" x14ac:dyDescent="0.2">
      <c r="A91">
        <v>3</v>
      </c>
      <c r="B91">
        <v>10</v>
      </c>
      <c r="C91">
        <v>9</v>
      </c>
      <c r="D91">
        <v>49</v>
      </c>
      <c r="E91">
        <v>0</v>
      </c>
      <c r="F91">
        <f t="shared" si="2"/>
        <v>0</v>
      </c>
    </row>
    <row r="92" spans="1:11" x14ac:dyDescent="0.2">
      <c r="A92">
        <v>3</v>
      </c>
      <c r="B92">
        <v>10</v>
      </c>
      <c r="C92">
        <v>10</v>
      </c>
      <c r="D92">
        <v>50</v>
      </c>
      <c r="E92">
        <v>0</v>
      </c>
      <c r="F92">
        <f t="shared" si="2"/>
        <v>0</v>
      </c>
    </row>
    <row r="93" spans="1:11" x14ac:dyDescent="0.2">
      <c r="A93">
        <v>3</v>
      </c>
      <c r="B93">
        <v>10</v>
      </c>
      <c r="C93">
        <v>11</v>
      </c>
      <c r="D93">
        <v>51</v>
      </c>
      <c r="E93">
        <v>0</v>
      </c>
      <c r="F93">
        <f t="shared" si="2"/>
        <v>0</v>
      </c>
    </row>
    <row r="94" spans="1:11" x14ac:dyDescent="0.2">
      <c r="A94">
        <v>3</v>
      </c>
      <c r="B94">
        <v>10</v>
      </c>
      <c r="C94">
        <v>12</v>
      </c>
      <c r="D94">
        <v>52</v>
      </c>
      <c r="E94">
        <v>0</v>
      </c>
      <c r="F94">
        <f t="shared" si="2"/>
        <v>0</v>
      </c>
    </row>
    <row r="95" spans="1:11" x14ac:dyDescent="0.2">
      <c r="A95">
        <v>3</v>
      </c>
      <c r="B95">
        <v>10</v>
      </c>
      <c r="C95">
        <v>13</v>
      </c>
      <c r="D95">
        <v>53</v>
      </c>
      <c r="E95">
        <v>0</v>
      </c>
      <c r="F95">
        <f t="shared" si="2"/>
        <v>0</v>
      </c>
    </row>
    <row r="96" spans="1:11" x14ac:dyDescent="0.2">
      <c r="A96">
        <v>3</v>
      </c>
      <c r="B96">
        <v>10</v>
      </c>
      <c r="C96">
        <v>14</v>
      </c>
      <c r="D96">
        <v>54</v>
      </c>
      <c r="E96">
        <v>0</v>
      </c>
      <c r="F96">
        <f t="shared" si="2"/>
        <v>0</v>
      </c>
    </row>
    <row r="97" spans="1:6" x14ac:dyDescent="0.2">
      <c r="A97">
        <v>3</v>
      </c>
      <c r="B97">
        <v>10</v>
      </c>
      <c r="C97">
        <v>15</v>
      </c>
      <c r="D97">
        <v>55</v>
      </c>
      <c r="E97">
        <v>0</v>
      </c>
      <c r="F97">
        <f t="shared" si="2"/>
        <v>0</v>
      </c>
    </row>
    <row r="98" spans="1:6" x14ac:dyDescent="0.2">
      <c r="A98">
        <v>3</v>
      </c>
      <c r="B98">
        <v>10</v>
      </c>
      <c r="C98">
        <v>16</v>
      </c>
      <c r="D98">
        <v>56</v>
      </c>
      <c r="E98">
        <v>1</v>
      </c>
      <c r="F98">
        <f t="shared" si="2"/>
        <v>0.81</v>
      </c>
    </row>
    <row r="99" spans="1:6" x14ac:dyDescent="0.2">
      <c r="A99">
        <v>3</v>
      </c>
      <c r="B99">
        <v>10</v>
      </c>
      <c r="C99">
        <v>17</v>
      </c>
      <c r="D99">
        <v>57</v>
      </c>
      <c r="E99">
        <v>0</v>
      </c>
      <c r="F99">
        <f t="shared" si="2"/>
        <v>0</v>
      </c>
    </row>
    <row r="100" spans="1:6" x14ac:dyDescent="0.2">
      <c r="A100">
        <v>3</v>
      </c>
      <c r="B100">
        <v>10</v>
      </c>
      <c r="C100">
        <v>18</v>
      </c>
      <c r="D100">
        <v>58</v>
      </c>
      <c r="E100">
        <v>0</v>
      </c>
      <c r="F100">
        <f t="shared" si="2"/>
        <v>0</v>
      </c>
    </row>
    <row r="101" spans="1:6" x14ac:dyDescent="0.2">
      <c r="A101">
        <v>3</v>
      </c>
      <c r="B101">
        <v>10</v>
      </c>
      <c r="C101">
        <v>19</v>
      </c>
      <c r="D101">
        <v>59</v>
      </c>
      <c r="E101">
        <v>0</v>
      </c>
      <c r="F101">
        <f t="shared" si="2"/>
        <v>0</v>
      </c>
    </row>
    <row r="102" spans="1:6" x14ac:dyDescent="0.2">
      <c r="A102">
        <v>3</v>
      </c>
      <c r="B102">
        <v>10</v>
      </c>
      <c r="C102">
        <v>20</v>
      </c>
      <c r="D102">
        <v>60</v>
      </c>
      <c r="E102">
        <v>0</v>
      </c>
      <c r="F102">
        <f t="shared" si="2"/>
        <v>0</v>
      </c>
    </row>
    <row r="103" spans="1:6" x14ac:dyDescent="0.2">
      <c r="A103">
        <v>3</v>
      </c>
      <c r="B103">
        <v>10</v>
      </c>
      <c r="C103">
        <v>21</v>
      </c>
      <c r="D103">
        <v>61</v>
      </c>
      <c r="E103">
        <v>0</v>
      </c>
      <c r="F103">
        <f t="shared" si="2"/>
        <v>0</v>
      </c>
    </row>
    <row r="104" spans="1:6" x14ac:dyDescent="0.2">
      <c r="A104">
        <v>3</v>
      </c>
      <c r="B104">
        <v>10</v>
      </c>
      <c r="C104">
        <v>22</v>
      </c>
      <c r="D104">
        <v>62</v>
      </c>
      <c r="E104">
        <v>0</v>
      </c>
      <c r="F104">
        <f t="shared" si="2"/>
        <v>0</v>
      </c>
    </row>
    <row r="105" spans="1:6" x14ac:dyDescent="0.2">
      <c r="A105">
        <v>3</v>
      </c>
      <c r="B105">
        <v>10</v>
      </c>
      <c r="C105">
        <v>23</v>
      </c>
      <c r="D105">
        <v>63</v>
      </c>
      <c r="E105">
        <v>0</v>
      </c>
      <c r="F105">
        <f t="shared" si="2"/>
        <v>0</v>
      </c>
    </row>
    <row r="106" spans="1:6" x14ac:dyDescent="0.2">
      <c r="A106">
        <v>3</v>
      </c>
      <c r="B106">
        <v>10</v>
      </c>
      <c r="C106">
        <v>24</v>
      </c>
      <c r="D106">
        <v>64</v>
      </c>
      <c r="E106">
        <v>0</v>
      </c>
      <c r="F106">
        <f t="shared" si="2"/>
        <v>0</v>
      </c>
    </row>
    <row r="107" spans="1:6" x14ac:dyDescent="0.2">
      <c r="A107">
        <v>3</v>
      </c>
      <c r="B107">
        <v>10</v>
      </c>
      <c r="C107">
        <v>25</v>
      </c>
      <c r="D107">
        <v>65</v>
      </c>
      <c r="E107">
        <v>0</v>
      </c>
      <c r="F107">
        <f t="shared" si="2"/>
        <v>0</v>
      </c>
    </row>
    <row r="108" spans="1:6" x14ac:dyDescent="0.2">
      <c r="A108">
        <v>3</v>
      </c>
      <c r="B108">
        <v>10</v>
      </c>
      <c r="C108">
        <v>26</v>
      </c>
      <c r="D108">
        <v>66</v>
      </c>
      <c r="E108">
        <v>0</v>
      </c>
      <c r="F108">
        <f t="shared" si="2"/>
        <v>0</v>
      </c>
    </row>
    <row r="109" spans="1:6" x14ac:dyDescent="0.2">
      <c r="A109">
        <v>3</v>
      </c>
      <c r="B109">
        <v>10</v>
      </c>
      <c r="C109">
        <v>27</v>
      </c>
      <c r="D109">
        <v>67</v>
      </c>
      <c r="E109">
        <v>0</v>
      </c>
      <c r="F109">
        <f t="shared" si="2"/>
        <v>0</v>
      </c>
    </row>
    <row r="110" spans="1:6" x14ac:dyDescent="0.2">
      <c r="A110">
        <v>3</v>
      </c>
      <c r="B110">
        <v>10</v>
      </c>
      <c r="C110">
        <v>28</v>
      </c>
      <c r="D110">
        <v>68</v>
      </c>
      <c r="E110">
        <v>0</v>
      </c>
      <c r="F110">
        <f t="shared" si="2"/>
        <v>0</v>
      </c>
    </row>
    <row r="111" spans="1:6" x14ac:dyDescent="0.2">
      <c r="A111">
        <v>3</v>
      </c>
      <c r="B111">
        <v>10</v>
      </c>
      <c r="C111">
        <v>29</v>
      </c>
      <c r="D111">
        <v>69</v>
      </c>
      <c r="E111">
        <v>0</v>
      </c>
      <c r="F111">
        <f t="shared" si="2"/>
        <v>0</v>
      </c>
    </row>
    <row r="112" spans="1:6" x14ac:dyDescent="0.2">
      <c r="A112">
        <v>3</v>
      </c>
      <c r="B112">
        <v>10</v>
      </c>
      <c r="C112">
        <v>30</v>
      </c>
      <c r="D112">
        <v>70</v>
      </c>
      <c r="E112">
        <v>0</v>
      </c>
      <c r="F112">
        <f t="shared" si="2"/>
        <v>0</v>
      </c>
    </row>
    <row r="113" spans="1:6" x14ac:dyDescent="0.2">
      <c r="A113">
        <v>3</v>
      </c>
      <c r="B113">
        <v>10</v>
      </c>
      <c r="C113">
        <v>31</v>
      </c>
      <c r="D113">
        <v>71</v>
      </c>
      <c r="E113">
        <v>0</v>
      </c>
      <c r="F113">
        <f t="shared" si="2"/>
        <v>0</v>
      </c>
    </row>
    <row r="114" spans="1:6" x14ac:dyDescent="0.2">
      <c r="A114">
        <v>3</v>
      </c>
      <c r="B114">
        <v>10</v>
      </c>
      <c r="C114">
        <v>32</v>
      </c>
      <c r="D114">
        <v>72</v>
      </c>
      <c r="E114">
        <v>0</v>
      </c>
      <c r="F114">
        <f t="shared" si="2"/>
        <v>0</v>
      </c>
    </row>
    <row r="115" spans="1:6" x14ac:dyDescent="0.2">
      <c r="A115">
        <v>3</v>
      </c>
      <c r="B115">
        <v>10</v>
      </c>
      <c r="C115">
        <v>33</v>
      </c>
      <c r="D115">
        <v>73</v>
      </c>
      <c r="E115">
        <v>0</v>
      </c>
      <c r="F115">
        <f t="shared" si="2"/>
        <v>0</v>
      </c>
    </row>
    <row r="116" spans="1:6" x14ac:dyDescent="0.2">
      <c r="A116">
        <v>3</v>
      </c>
      <c r="B116">
        <v>10</v>
      </c>
      <c r="C116">
        <v>34</v>
      </c>
      <c r="D116">
        <v>74</v>
      </c>
      <c r="E116">
        <v>0</v>
      </c>
      <c r="F116">
        <f t="shared" si="2"/>
        <v>0</v>
      </c>
    </row>
    <row r="117" spans="1:6" x14ac:dyDescent="0.2">
      <c r="A117">
        <v>3</v>
      </c>
      <c r="B117">
        <v>10</v>
      </c>
      <c r="C117">
        <v>35</v>
      </c>
      <c r="D117">
        <v>75</v>
      </c>
      <c r="E117">
        <v>0</v>
      </c>
      <c r="F117">
        <f t="shared" si="2"/>
        <v>0</v>
      </c>
    </row>
    <row r="118" spans="1:6" x14ac:dyDescent="0.2">
      <c r="A118">
        <v>3</v>
      </c>
      <c r="B118">
        <v>10</v>
      </c>
      <c r="C118">
        <v>36</v>
      </c>
      <c r="D118">
        <v>76</v>
      </c>
      <c r="E118">
        <v>0</v>
      </c>
      <c r="F118">
        <f t="shared" si="2"/>
        <v>0</v>
      </c>
    </row>
    <row r="119" spans="1:6" x14ac:dyDescent="0.2">
      <c r="A119">
        <v>3</v>
      </c>
      <c r="B119">
        <v>10</v>
      </c>
      <c r="C119">
        <v>37</v>
      </c>
      <c r="D119">
        <v>77</v>
      </c>
      <c r="E119">
        <v>0</v>
      </c>
      <c r="F119">
        <f t="shared" si="2"/>
        <v>0</v>
      </c>
    </row>
    <row r="120" spans="1:6" x14ac:dyDescent="0.2">
      <c r="A120">
        <v>3</v>
      </c>
      <c r="B120">
        <v>10</v>
      </c>
      <c r="C120">
        <v>38</v>
      </c>
      <c r="D120">
        <v>78</v>
      </c>
      <c r="E120">
        <v>0</v>
      </c>
      <c r="F120">
        <f t="shared" si="2"/>
        <v>0</v>
      </c>
    </row>
    <row r="121" spans="1:6" x14ac:dyDescent="0.2">
      <c r="A121">
        <v>3</v>
      </c>
      <c r="B121">
        <v>10</v>
      </c>
      <c r="C121">
        <v>39</v>
      </c>
      <c r="D121">
        <v>79</v>
      </c>
      <c r="E121">
        <v>0</v>
      </c>
      <c r="F121">
        <f t="shared" si="2"/>
        <v>0</v>
      </c>
    </row>
    <row r="122" spans="1:6" x14ac:dyDescent="0.2">
      <c r="A122">
        <v>4</v>
      </c>
      <c r="B122">
        <v>10</v>
      </c>
      <c r="C122">
        <v>0</v>
      </c>
      <c r="D122">
        <v>40</v>
      </c>
      <c r="E122">
        <v>0</v>
      </c>
      <c r="F122">
        <f t="shared" si="2"/>
        <v>0</v>
      </c>
    </row>
    <row r="123" spans="1:6" x14ac:dyDescent="0.2">
      <c r="A123">
        <v>4</v>
      </c>
      <c r="B123">
        <v>10</v>
      </c>
      <c r="C123">
        <v>1</v>
      </c>
      <c r="D123">
        <v>41</v>
      </c>
      <c r="E123">
        <v>0</v>
      </c>
      <c r="F123">
        <f t="shared" si="2"/>
        <v>0</v>
      </c>
    </row>
    <row r="124" spans="1:6" x14ac:dyDescent="0.2">
      <c r="A124">
        <v>4</v>
      </c>
      <c r="B124">
        <v>10</v>
      </c>
      <c r="C124">
        <v>2</v>
      </c>
      <c r="D124">
        <v>42</v>
      </c>
      <c r="E124">
        <v>0</v>
      </c>
      <c r="F124">
        <f t="shared" si="2"/>
        <v>0</v>
      </c>
    </row>
    <row r="125" spans="1:6" x14ac:dyDescent="0.2">
      <c r="A125">
        <v>4</v>
      </c>
      <c r="B125">
        <v>10</v>
      </c>
      <c r="C125">
        <v>3</v>
      </c>
      <c r="D125">
        <v>43</v>
      </c>
      <c r="E125">
        <v>0</v>
      </c>
      <c r="F125">
        <f t="shared" si="2"/>
        <v>0</v>
      </c>
    </row>
    <row r="126" spans="1:6" x14ac:dyDescent="0.2">
      <c r="A126">
        <v>4</v>
      </c>
      <c r="B126">
        <v>10</v>
      </c>
      <c r="C126">
        <v>4</v>
      </c>
      <c r="D126">
        <v>44</v>
      </c>
      <c r="E126">
        <v>0</v>
      </c>
      <c r="F126">
        <f t="shared" si="2"/>
        <v>0</v>
      </c>
    </row>
    <row r="127" spans="1:6" x14ac:dyDescent="0.2">
      <c r="A127">
        <v>4</v>
      </c>
      <c r="B127">
        <v>10</v>
      </c>
      <c r="C127">
        <v>5</v>
      </c>
      <c r="D127">
        <v>45</v>
      </c>
      <c r="E127">
        <v>0</v>
      </c>
      <c r="F127">
        <f t="shared" si="2"/>
        <v>0</v>
      </c>
    </row>
    <row r="128" spans="1:6" x14ac:dyDescent="0.2">
      <c r="A128">
        <v>4</v>
      </c>
      <c r="B128">
        <v>10</v>
      </c>
      <c r="C128">
        <v>6</v>
      </c>
      <c r="D128">
        <v>46</v>
      </c>
      <c r="E128">
        <v>1</v>
      </c>
      <c r="F128">
        <f t="shared" si="2"/>
        <v>0.81</v>
      </c>
    </row>
    <row r="129" spans="1:6" x14ac:dyDescent="0.2">
      <c r="A129">
        <v>4</v>
      </c>
      <c r="B129">
        <v>10</v>
      </c>
      <c r="C129">
        <v>7</v>
      </c>
      <c r="D129">
        <v>47</v>
      </c>
      <c r="E129">
        <v>0</v>
      </c>
      <c r="F129">
        <f t="shared" si="2"/>
        <v>0</v>
      </c>
    </row>
    <row r="130" spans="1:6" x14ac:dyDescent="0.2">
      <c r="A130">
        <v>4</v>
      </c>
      <c r="B130">
        <v>10</v>
      </c>
      <c r="C130">
        <v>8</v>
      </c>
      <c r="D130">
        <v>48</v>
      </c>
      <c r="E130">
        <v>0</v>
      </c>
      <c r="F130">
        <f t="shared" si="2"/>
        <v>0</v>
      </c>
    </row>
    <row r="131" spans="1:6" x14ac:dyDescent="0.2">
      <c r="A131">
        <v>4</v>
      </c>
      <c r="B131">
        <v>10</v>
      </c>
      <c r="C131">
        <v>9</v>
      </c>
      <c r="D131">
        <v>49</v>
      </c>
      <c r="E131">
        <v>0</v>
      </c>
      <c r="F131">
        <f t="shared" si="2"/>
        <v>0</v>
      </c>
    </row>
    <row r="132" spans="1:6" x14ac:dyDescent="0.2">
      <c r="A132">
        <v>4</v>
      </c>
      <c r="B132">
        <v>10</v>
      </c>
      <c r="C132">
        <v>10</v>
      </c>
      <c r="D132">
        <v>50</v>
      </c>
      <c r="E132">
        <v>0</v>
      </c>
      <c r="F132">
        <f t="shared" si="2"/>
        <v>0</v>
      </c>
    </row>
    <row r="133" spans="1:6" x14ac:dyDescent="0.2">
      <c r="A133">
        <v>4</v>
      </c>
      <c r="B133">
        <v>10</v>
      </c>
      <c r="C133">
        <v>11</v>
      </c>
      <c r="D133">
        <v>51</v>
      </c>
      <c r="E133">
        <v>0</v>
      </c>
      <c r="F133">
        <f t="shared" si="2"/>
        <v>0</v>
      </c>
    </row>
    <row r="134" spans="1:6" x14ac:dyDescent="0.2">
      <c r="A134">
        <v>4</v>
      </c>
      <c r="B134">
        <v>10</v>
      </c>
      <c r="C134">
        <v>12</v>
      </c>
      <c r="D134">
        <v>52</v>
      </c>
      <c r="E134">
        <v>0</v>
      </c>
      <c r="F134">
        <f t="shared" si="2"/>
        <v>0</v>
      </c>
    </row>
    <row r="135" spans="1:6" x14ac:dyDescent="0.2">
      <c r="A135">
        <v>4</v>
      </c>
      <c r="B135">
        <v>10</v>
      </c>
      <c r="C135">
        <v>13</v>
      </c>
      <c r="D135">
        <v>53</v>
      </c>
      <c r="E135">
        <v>0</v>
      </c>
      <c r="F135">
        <f t="shared" si="2"/>
        <v>0</v>
      </c>
    </row>
    <row r="136" spans="1:6" x14ac:dyDescent="0.2">
      <c r="A136">
        <v>4</v>
      </c>
      <c r="B136">
        <v>10</v>
      </c>
      <c r="C136">
        <v>14</v>
      </c>
      <c r="D136">
        <v>54</v>
      </c>
      <c r="E136">
        <v>0</v>
      </c>
      <c r="F136">
        <f t="shared" si="2"/>
        <v>0</v>
      </c>
    </row>
    <row r="137" spans="1:6" x14ac:dyDescent="0.2">
      <c r="A137">
        <v>4</v>
      </c>
      <c r="B137">
        <v>10</v>
      </c>
      <c r="C137">
        <v>15</v>
      </c>
      <c r="D137">
        <v>55</v>
      </c>
      <c r="E137">
        <v>0</v>
      </c>
      <c r="F137">
        <f t="shared" si="2"/>
        <v>0</v>
      </c>
    </row>
    <row r="138" spans="1:6" x14ac:dyDescent="0.2">
      <c r="A138">
        <v>4</v>
      </c>
      <c r="B138">
        <v>10</v>
      </c>
      <c r="C138">
        <v>16</v>
      </c>
      <c r="D138">
        <v>56</v>
      </c>
      <c r="E138">
        <v>0</v>
      </c>
      <c r="F138">
        <f t="shared" si="2"/>
        <v>0</v>
      </c>
    </row>
    <row r="139" spans="1:6" x14ac:dyDescent="0.2">
      <c r="A139">
        <v>4</v>
      </c>
      <c r="B139">
        <v>10</v>
      </c>
      <c r="C139">
        <v>17</v>
      </c>
      <c r="D139">
        <v>57</v>
      </c>
      <c r="E139">
        <v>0</v>
      </c>
      <c r="F139">
        <f t="shared" si="2"/>
        <v>0</v>
      </c>
    </row>
    <row r="140" spans="1:6" x14ac:dyDescent="0.2">
      <c r="A140">
        <v>4</v>
      </c>
      <c r="B140">
        <v>10</v>
      </c>
      <c r="C140">
        <v>18</v>
      </c>
      <c r="D140">
        <v>58</v>
      </c>
      <c r="E140">
        <v>0</v>
      </c>
      <c r="F140">
        <f t="shared" si="2"/>
        <v>0</v>
      </c>
    </row>
    <row r="141" spans="1:6" x14ac:dyDescent="0.2">
      <c r="A141">
        <v>4</v>
      </c>
      <c r="B141">
        <v>10</v>
      </c>
      <c r="C141">
        <v>19</v>
      </c>
      <c r="D141">
        <v>59</v>
      </c>
      <c r="E141">
        <v>0</v>
      </c>
      <c r="F141">
        <f t="shared" si="2"/>
        <v>0</v>
      </c>
    </row>
    <row r="142" spans="1:6" x14ac:dyDescent="0.2">
      <c r="A142">
        <v>4</v>
      </c>
      <c r="B142">
        <v>10</v>
      </c>
      <c r="C142">
        <v>20</v>
      </c>
      <c r="D142">
        <v>60</v>
      </c>
      <c r="E142">
        <v>0</v>
      </c>
      <c r="F142">
        <f t="shared" si="2"/>
        <v>0</v>
      </c>
    </row>
    <row r="143" spans="1:6" x14ac:dyDescent="0.2">
      <c r="A143">
        <v>4</v>
      </c>
      <c r="B143">
        <v>10</v>
      </c>
      <c r="C143">
        <v>21</v>
      </c>
      <c r="D143">
        <v>61</v>
      </c>
      <c r="E143">
        <v>0</v>
      </c>
      <c r="F143">
        <f t="shared" si="2"/>
        <v>0</v>
      </c>
    </row>
    <row r="144" spans="1:6" x14ac:dyDescent="0.2">
      <c r="A144">
        <v>4</v>
      </c>
      <c r="B144">
        <v>10</v>
      </c>
      <c r="C144">
        <v>22</v>
      </c>
      <c r="D144">
        <v>62</v>
      </c>
      <c r="E144">
        <v>0</v>
      </c>
      <c r="F144">
        <f t="shared" si="2"/>
        <v>0</v>
      </c>
    </row>
    <row r="145" spans="1:6" x14ac:dyDescent="0.2">
      <c r="A145">
        <v>4</v>
      </c>
      <c r="B145">
        <v>10</v>
      </c>
      <c r="C145">
        <v>23</v>
      </c>
      <c r="D145">
        <v>63</v>
      </c>
      <c r="E145">
        <v>0</v>
      </c>
      <c r="F145">
        <f t="shared" si="2"/>
        <v>0</v>
      </c>
    </row>
    <row r="146" spans="1:6" x14ac:dyDescent="0.2">
      <c r="A146">
        <v>4</v>
      </c>
      <c r="B146">
        <v>10</v>
      </c>
      <c r="C146">
        <v>24</v>
      </c>
      <c r="D146">
        <v>64</v>
      </c>
      <c r="E146">
        <v>0</v>
      </c>
      <c r="F146">
        <f t="shared" ref="F146:F209" si="3">(E146*0.81)</f>
        <v>0</v>
      </c>
    </row>
    <row r="147" spans="1:6" x14ac:dyDescent="0.2">
      <c r="A147">
        <v>4</v>
      </c>
      <c r="B147">
        <v>10</v>
      </c>
      <c r="C147">
        <v>25</v>
      </c>
      <c r="D147">
        <v>65</v>
      </c>
      <c r="E147">
        <v>0</v>
      </c>
      <c r="F147">
        <f t="shared" si="3"/>
        <v>0</v>
      </c>
    </row>
    <row r="148" spans="1:6" x14ac:dyDescent="0.2">
      <c r="A148">
        <v>4</v>
      </c>
      <c r="B148">
        <v>10</v>
      </c>
      <c r="C148">
        <v>26</v>
      </c>
      <c r="D148">
        <v>66</v>
      </c>
      <c r="E148">
        <v>0</v>
      </c>
      <c r="F148">
        <f t="shared" si="3"/>
        <v>0</v>
      </c>
    </row>
    <row r="149" spans="1:6" x14ac:dyDescent="0.2">
      <c r="A149">
        <v>4</v>
      </c>
      <c r="B149">
        <v>10</v>
      </c>
      <c r="C149">
        <v>27</v>
      </c>
      <c r="D149">
        <v>67</v>
      </c>
      <c r="E149">
        <v>0</v>
      </c>
      <c r="F149">
        <f t="shared" si="3"/>
        <v>0</v>
      </c>
    </row>
    <row r="150" spans="1:6" x14ac:dyDescent="0.2">
      <c r="A150">
        <v>4</v>
      </c>
      <c r="B150">
        <v>10</v>
      </c>
      <c r="C150">
        <v>28</v>
      </c>
      <c r="D150">
        <v>68</v>
      </c>
      <c r="E150">
        <v>0</v>
      </c>
      <c r="F150">
        <f t="shared" si="3"/>
        <v>0</v>
      </c>
    </row>
    <row r="151" spans="1:6" x14ac:dyDescent="0.2">
      <c r="A151">
        <v>4</v>
      </c>
      <c r="B151">
        <v>10</v>
      </c>
      <c r="C151">
        <v>29</v>
      </c>
      <c r="D151">
        <v>69</v>
      </c>
      <c r="E151">
        <v>0</v>
      </c>
      <c r="F151">
        <f t="shared" si="3"/>
        <v>0</v>
      </c>
    </row>
    <row r="152" spans="1:6" x14ac:dyDescent="0.2">
      <c r="A152">
        <v>4</v>
      </c>
      <c r="B152">
        <v>10</v>
      </c>
      <c r="C152">
        <v>30</v>
      </c>
      <c r="D152">
        <v>70</v>
      </c>
      <c r="E152">
        <v>0</v>
      </c>
      <c r="F152">
        <f t="shared" si="3"/>
        <v>0</v>
      </c>
    </row>
    <row r="153" spans="1:6" x14ac:dyDescent="0.2">
      <c r="A153">
        <v>4</v>
      </c>
      <c r="B153">
        <v>10</v>
      </c>
      <c r="C153">
        <v>31</v>
      </c>
      <c r="D153">
        <v>71</v>
      </c>
      <c r="E153">
        <v>0</v>
      </c>
      <c r="F153">
        <f t="shared" si="3"/>
        <v>0</v>
      </c>
    </row>
    <row r="154" spans="1:6" x14ac:dyDescent="0.2">
      <c r="A154">
        <v>4</v>
      </c>
      <c r="B154">
        <v>10</v>
      </c>
      <c r="C154">
        <v>32</v>
      </c>
      <c r="D154">
        <v>72</v>
      </c>
      <c r="E154">
        <v>0</v>
      </c>
      <c r="F154">
        <f t="shared" si="3"/>
        <v>0</v>
      </c>
    </row>
    <row r="155" spans="1:6" x14ac:dyDescent="0.2">
      <c r="A155">
        <v>4</v>
      </c>
      <c r="B155">
        <v>10</v>
      </c>
      <c r="C155">
        <v>33</v>
      </c>
      <c r="D155">
        <v>73</v>
      </c>
      <c r="E155">
        <v>0</v>
      </c>
      <c r="F155">
        <f t="shared" si="3"/>
        <v>0</v>
      </c>
    </row>
    <row r="156" spans="1:6" x14ac:dyDescent="0.2">
      <c r="A156">
        <v>4</v>
      </c>
      <c r="B156">
        <v>10</v>
      </c>
      <c r="C156">
        <v>34</v>
      </c>
      <c r="D156">
        <v>74</v>
      </c>
      <c r="E156">
        <v>0</v>
      </c>
      <c r="F156">
        <f t="shared" si="3"/>
        <v>0</v>
      </c>
    </row>
    <row r="157" spans="1:6" x14ac:dyDescent="0.2">
      <c r="A157">
        <v>4</v>
      </c>
      <c r="B157">
        <v>10</v>
      </c>
      <c r="C157">
        <v>35</v>
      </c>
      <c r="D157">
        <v>75</v>
      </c>
      <c r="E157">
        <v>0</v>
      </c>
      <c r="F157">
        <f t="shared" si="3"/>
        <v>0</v>
      </c>
    </row>
    <row r="158" spans="1:6" x14ac:dyDescent="0.2">
      <c r="A158">
        <v>4</v>
      </c>
      <c r="B158">
        <v>10</v>
      </c>
      <c r="C158">
        <v>36</v>
      </c>
      <c r="D158">
        <v>76</v>
      </c>
      <c r="E158">
        <v>0</v>
      </c>
      <c r="F158">
        <f t="shared" si="3"/>
        <v>0</v>
      </c>
    </row>
    <row r="159" spans="1:6" x14ac:dyDescent="0.2">
      <c r="A159">
        <v>4</v>
      </c>
      <c r="B159">
        <v>10</v>
      </c>
      <c r="C159">
        <v>37</v>
      </c>
      <c r="D159">
        <v>77</v>
      </c>
      <c r="E159">
        <v>0</v>
      </c>
      <c r="F159">
        <f t="shared" si="3"/>
        <v>0</v>
      </c>
    </row>
    <row r="160" spans="1:6" x14ac:dyDescent="0.2">
      <c r="A160">
        <v>4</v>
      </c>
      <c r="B160">
        <v>10</v>
      </c>
      <c r="C160">
        <v>38</v>
      </c>
      <c r="D160">
        <v>78</v>
      </c>
      <c r="E160">
        <v>0</v>
      </c>
      <c r="F160">
        <f t="shared" si="3"/>
        <v>0</v>
      </c>
    </row>
    <row r="161" spans="1:6" x14ac:dyDescent="0.2">
      <c r="A161">
        <v>4</v>
      </c>
      <c r="B161">
        <v>10</v>
      </c>
      <c r="C161">
        <v>39</v>
      </c>
      <c r="D161">
        <v>79</v>
      </c>
      <c r="E161">
        <v>0</v>
      </c>
      <c r="F161">
        <f t="shared" si="3"/>
        <v>0</v>
      </c>
    </row>
    <row r="162" spans="1:6" x14ac:dyDescent="0.2">
      <c r="A162">
        <v>5</v>
      </c>
      <c r="B162">
        <v>10</v>
      </c>
      <c r="C162">
        <v>0</v>
      </c>
      <c r="D162">
        <v>40</v>
      </c>
      <c r="E162">
        <v>0</v>
      </c>
      <c r="F162">
        <f t="shared" si="3"/>
        <v>0</v>
      </c>
    </row>
    <row r="163" spans="1:6" x14ac:dyDescent="0.2">
      <c r="A163">
        <v>5</v>
      </c>
      <c r="B163">
        <v>10</v>
      </c>
      <c r="C163">
        <v>1</v>
      </c>
      <c r="D163">
        <v>41</v>
      </c>
      <c r="E163">
        <v>0</v>
      </c>
      <c r="F163">
        <f t="shared" si="3"/>
        <v>0</v>
      </c>
    </row>
    <row r="164" spans="1:6" x14ac:dyDescent="0.2">
      <c r="A164">
        <v>5</v>
      </c>
      <c r="B164">
        <v>10</v>
      </c>
      <c r="C164">
        <v>2</v>
      </c>
      <c r="D164">
        <v>42</v>
      </c>
      <c r="E164">
        <v>0</v>
      </c>
      <c r="F164">
        <f t="shared" si="3"/>
        <v>0</v>
      </c>
    </row>
    <row r="165" spans="1:6" x14ac:dyDescent="0.2">
      <c r="A165">
        <v>5</v>
      </c>
      <c r="B165">
        <v>10</v>
      </c>
      <c r="C165">
        <v>3</v>
      </c>
      <c r="D165">
        <v>43</v>
      </c>
      <c r="E165">
        <v>0</v>
      </c>
      <c r="F165">
        <f t="shared" si="3"/>
        <v>0</v>
      </c>
    </row>
    <row r="166" spans="1:6" x14ac:dyDescent="0.2">
      <c r="A166">
        <v>5</v>
      </c>
      <c r="B166">
        <v>10</v>
      </c>
      <c r="C166">
        <v>4</v>
      </c>
      <c r="D166">
        <v>44</v>
      </c>
      <c r="E166">
        <v>0</v>
      </c>
      <c r="F166">
        <f t="shared" si="3"/>
        <v>0</v>
      </c>
    </row>
    <row r="167" spans="1:6" x14ac:dyDescent="0.2">
      <c r="A167">
        <v>5</v>
      </c>
      <c r="B167">
        <v>10</v>
      </c>
      <c r="C167">
        <v>5</v>
      </c>
      <c r="D167">
        <v>45</v>
      </c>
      <c r="E167">
        <v>0</v>
      </c>
      <c r="F167">
        <f t="shared" si="3"/>
        <v>0</v>
      </c>
    </row>
    <row r="168" spans="1:6" x14ac:dyDescent="0.2">
      <c r="A168">
        <v>5</v>
      </c>
      <c r="B168">
        <v>10</v>
      </c>
      <c r="C168">
        <v>6</v>
      </c>
      <c r="D168">
        <v>46</v>
      </c>
      <c r="E168">
        <v>0</v>
      </c>
      <c r="F168">
        <f t="shared" si="3"/>
        <v>0</v>
      </c>
    </row>
    <row r="169" spans="1:6" x14ac:dyDescent="0.2">
      <c r="A169">
        <v>5</v>
      </c>
      <c r="B169">
        <v>10</v>
      </c>
      <c r="C169">
        <v>7</v>
      </c>
      <c r="D169">
        <v>47</v>
      </c>
      <c r="E169">
        <v>0</v>
      </c>
      <c r="F169">
        <f t="shared" si="3"/>
        <v>0</v>
      </c>
    </row>
    <row r="170" spans="1:6" x14ac:dyDescent="0.2">
      <c r="A170">
        <v>5</v>
      </c>
      <c r="B170">
        <v>10</v>
      </c>
      <c r="C170">
        <v>8</v>
      </c>
      <c r="D170">
        <v>48</v>
      </c>
      <c r="E170">
        <v>0</v>
      </c>
      <c r="F170">
        <f t="shared" si="3"/>
        <v>0</v>
      </c>
    </row>
    <row r="171" spans="1:6" x14ac:dyDescent="0.2">
      <c r="A171">
        <v>5</v>
      </c>
      <c r="B171">
        <v>10</v>
      </c>
      <c r="C171">
        <v>9</v>
      </c>
      <c r="D171">
        <v>49</v>
      </c>
      <c r="E171">
        <v>2</v>
      </c>
      <c r="F171">
        <f t="shared" si="3"/>
        <v>1.62</v>
      </c>
    </row>
    <row r="172" spans="1:6" x14ac:dyDescent="0.2">
      <c r="A172">
        <v>5</v>
      </c>
      <c r="B172">
        <v>10</v>
      </c>
      <c r="C172">
        <v>10</v>
      </c>
      <c r="D172">
        <v>50</v>
      </c>
      <c r="E172">
        <v>0</v>
      </c>
      <c r="F172">
        <f t="shared" si="3"/>
        <v>0</v>
      </c>
    </row>
    <row r="173" spans="1:6" x14ac:dyDescent="0.2">
      <c r="A173">
        <v>5</v>
      </c>
      <c r="B173">
        <v>10</v>
      </c>
      <c r="C173">
        <v>11</v>
      </c>
      <c r="D173">
        <v>51</v>
      </c>
      <c r="E173">
        <v>0</v>
      </c>
      <c r="F173">
        <f t="shared" si="3"/>
        <v>0</v>
      </c>
    </row>
    <row r="174" spans="1:6" x14ac:dyDescent="0.2">
      <c r="A174">
        <v>5</v>
      </c>
      <c r="B174">
        <v>10</v>
      </c>
      <c r="C174">
        <v>12</v>
      </c>
      <c r="D174">
        <v>52</v>
      </c>
      <c r="E174">
        <v>0</v>
      </c>
      <c r="F174">
        <f t="shared" si="3"/>
        <v>0</v>
      </c>
    </row>
    <row r="175" spans="1:6" x14ac:dyDescent="0.2">
      <c r="A175">
        <v>5</v>
      </c>
      <c r="B175">
        <v>10</v>
      </c>
      <c r="C175">
        <v>13</v>
      </c>
      <c r="D175">
        <v>53</v>
      </c>
      <c r="E175">
        <v>0</v>
      </c>
      <c r="F175">
        <f t="shared" si="3"/>
        <v>0</v>
      </c>
    </row>
    <row r="176" spans="1:6" x14ac:dyDescent="0.2">
      <c r="A176">
        <v>5</v>
      </c>
      <c r="B176">
        <v>10</v>
      </c>
      <c r="C176">
        <v>14</v>
      </c>
      <c r="D176">
        <v>54</v>
      </c>
      <c r="E176">
        <v>0</v>
      </c>
      <c r="F176">
        <f t="shared" si="3"/>
        <v>0</v>
      </c>
    </row>
    <row r="177" spans="1:6" x14ac:dyDescent="0.2">
      <c r="A177">
        <v>5</v>
      </c>
      <c r="B177">
        <v>10</v>
      </c>
      <c r="C177">
        <v>15</v>
      </c>
      <c r="D177">
        <v>55</v>
      </c>
      <c r="E177">
        <v>0</v>
      </c>
      <c r="F177">
        <f t="shared" si="3"/>
        <v>0</v>
      </c>
    </row>
    <row r="178" spans="1:6" x14ac:dyDescent="0.2">
      <c r="A178">
        <v>5</v>
      </c>
      <c r="B178">
        <v>10</v>
      </c>
      <c r="C178">
        <v>16</v>
      </c>
      <c r="D178">
        <v>56</v>
      </c>
      <c r="E178">
        <v>0</v>
      </c>
      <c r="F178">
        <f t="shared" si="3"/>
        <v>0</v>
      </c>
    </row>
    <row r="179" spans="1:6" x14ac:dyDescent="0.2">
      <c r="A179">
        <v>5</v>
      </c>
      <c r="B179">
        <v>10</v>
      </c>
      <c r="C179">
        <v>17</v>
      </c>
      <c r="D179">
        <v>57</v>
      </c>
      <c r="E179">
        <v>0</v>
      </c>
      <c r="F179">
        <f t="shared" si="3"/>
        <v>0</v>
      </c>
    </row>
    <row r="180" spans="1:6" x14ac:dyDescent="0.2">
      <c r="A180">
        <v>5</v>
      </c>
      <c r="B180">
        <v>10</v>
      </c>
      <c r="C180">
        <v>18</v>
      </c>
      <c r="D180">
        <v>58</v>
      </c>
      <c r="E180">
        <v>0</v>
      </c>
      <c r="F180">
        <f t="shared" si="3"/>
        <v>0</v>
      </c>
    </row>
    <row r="181" spans="1:6" x14ac:dyDescent="0.2">
      <c r="A181">
        <v>5</v>
      </c>
      <c r="B181">
        <v>10</v>
      </c>
      <c r="C181">
        <v>19</v>
      </c>
      <c r="D181">
        <v>59</v>
      </c>
      <c r="E181">
        <v>0</v>
      </c>
      <c r="F181">
        <f t="shared" si="3"/>
        <v>0</v>
      </c>
    </row>
    <row r="182" spans="1:6" x14ac:dyDescent="0.2">
      <c r="A182">
        <v>5</v>
      </c>
      <c r="B182">
        <v>10</v>
      </c>
      <c r="C182">
        <v>20</v>
      </c>
      <c r="D182">
        <v>60</v>
      </c>
      <c r="E182">
        <v>0</v>
      </c>
      <c r="F182">
        <f t="shared" si="3"/>
        <v>0</v>
      </c>
    </row>
    <row r="183" spans="1:6" x14ac:dyDescent="0.2">
      <c r="A183">
        <v>5</v>
      </c>
      <c r="B183">
        <v>10</v>
      </c>
      <c r="C183">
        <v>21</v>
      </c>
      <c r="D183">
        <v>61</v>
      </c>
      <c r="E183">
        <v>0</v>
      </c>
      <c r="F183">
        <f t="shared" si="3"/>
        <v>0</v>
      </c>
    </row>
    <row r="184" spans="1:6" x14ac:dyDescent="0.2">
      <c r="A184">
        <v>5</v>
      </c>
      <c r="B184">
        <v>10</v>
      </c>
      <c r="C184">
        <v>22</v>
      </c>
      <c r="D184">
        <v>62</v>
      </c>
      <c r="E184">
        <v>0</v>
      </c>
      <c r="F184">
        <f t="shared" si="3"/>
        <v>0</v>
      </c>
    </row>
    <row r="185" spans="1:6" x14ac:dyDescent="0.2">
      <c r="A185">
        <v>5</v>
      </c>
      <c r="B185">
        <v>10</v>
      </c>
      <c r="C185">
        <v>23</v>
      </c>
      <c r="D185">
        <v>63</v>
      </c>
      <c r="E185">
        <v>0</v>
      </c>
      <c r="F185">
        <f t="shared" si="3"/>
        <v>0</v>
      </c>
    </row>
    <row r="186" spans="1:6" x14ac:dyDescent="0.2">
      <c r="A186">
        <v>5</v>
      </c>
      <c r="B186">
        <v>10</v>
      </c>
      <c r="C186">
        <v>24</v>
      </c>
      <c r="D186">
        <v>64</v>
      </c>
      <c r="E186">
        <v>0</v>
      </c>
      <c r="F186">
        <f t="shared" si="3"/>
        <v>0</v>
      </c>
    </row>
    <row r="187" spans="1:6" x14ac:dyDescent="0.2">
      <c r="A187">
        <v>5</v>
      </c>
      <c r="B187">
        <v>10</v>
      </c>
      <c r="C187">
        <v>25</v>
      </c>
      <c r="D187">
        <v>65</v>
      </c>
      <c r="E187">
        <v>0</v>
      </c>
      <c r="F187">
        <f t="shared" si="3"/>
        <v>0</v>
      </c>
    </row>
    <row r="188" spans="1:6" x14ac:dyDescent="0.2">
      <c r="A188">
        <v>5</v>
      </c>
      <c r="B188">
        <v>10</v>
      </c>
      <c r="C188">
        <v>26</v>
      </c>
      <c r="D188">
        <v>66</v>
      </c>
      <c r="E188">
        <v>0</v>
      </c>
      <c r="F188">
        <f t="shared" si="3"/>
        <v>0</v>
      </c>
    </row>
    <row r="189" spans="1:6" x14ac:dyDescent="0.2">
      <c r="A189">
        <v>5</v>
      </c>
      <c r="B189">
        <v>10</v>
      </c>
      <c r="C189">
        <v>27</v>
      </c>
      <c r="D189">
        <v>67</v>
      </c>
      <c r="E189">
        <v>0</v>
      </c>
      <c r="F189">
        <f t="shared" si="3"/>
        <v>0</v>
      </c>
    </row>
    <row r="190" spans="1:6" x14ac:dyDescent="0.2">
      <c r="A190">
        <v>5</v>
      </c>
      <c r="B190">
        <v>10</v>
      </c>
      <c r="C190">
        <v>28</v>
      </c>
      <c r="D190">
        <v>68</v>
      </c>
      <c r="E190">
        <v>0</v>
      </c>
      <c r="F190">
        <f t="shared" si="3"/>
        <v>0</v>
      </c>
    </row>
    <row r="191" spans="1:6" x14ac:dyDescent="0.2">
      <c r="A191">
        <v>5</v>
      </c>
      <c r="B191">
        <v>10</v>
      </c>
      <c r="C191">
        <v>29</v>
      </c>
      <c r="D191">
        <v>69</v>
      </c>
      <c r="E191">
        <v>0</v>
      </c>
      <c r="F191">
        <f t="shared" si="3"/>
        <v>0</v>
      </c>
    </row>
    <row r="192" spans="1:6" x14ac:dyDescent="0.2">
      <c r="A192">
        <v>5</v>
      </c>
      <c r="B192">
        <v>10</v>
      </c>
      <c r="C192">
        <v>30</v>
      </c>
      <c r="D192">
        <v>70</v>
      </c>
      <c r="E192">
        <v>0</v>
      </c>
      <c r="F192">
        <f t="shared" si="3"/>
        <v>0</v>
      </c>
    </row>
    <row r="193" spans="1:6" x14ac:dyDescent="0.2">
      <c r="A193">
        <v>5</v>
      </c>
      <c r="B193">
        <v>10</v>
      </c>
      <c r="C193">
        <v>31</v>
      </c>
      <c r="D193">
        <v>71</v>
      </c>
      <c r="E193">
        <v>0</v>
      </c>
      <c r="F193">
        <f t="shared" si="3"/>
        <v>0</v>
      </c>
    </row>
    <row r="194" spans="1:6" x14ac:dyDescent="0.2">
      <c r="A194">
        <v>5</v>
      </c>
      <c r="B194">
        <v>10</v>
      </c>
      <c r="C194">
        <v>32</v>
      </c>
      <c r="D194">
        <v>72</v>
      </c>
      <c r="E194">
        <v>0</v>
      </c>
      <c r="F194">
        <f t="shared" si="3"/>
        <v>0</v>
      </c>
    </row>
    <row r="195" spans="1:6" x14ac:dyDescent="0.2">
      <c r="A195">
        <v>5</v>
      </c>
      <c r="B195">
        <v>10</v>
      </c>
      <c r="C195">
        <v>33</v>
      </c>
      <c r="D195">
        <v>73</v>
      </c>
      <c r="E195">
        <v>0</v>
      </c>
      <c r="F195">
        <f t="shared" si="3"/>
        <v>0</v>
      </c>
    </row>
    <row r="196" spans="1:6" x14ac:dyDescent="0.2">
      <c r="A196">
        <v>5</v>
      </c>
      <c r="B196">
        <v>10</v>
      </c>
      <c r="C196">
        <v>34</v>
      </c>
      <c r="D196">
        <v>74</v>
      </c>
      <c r="E196">
        <v>0</v>
      </c>
      <c r="F196">
        <f t="shared" si="3"/>
        <v>0</v>
      </c>
    </row>
    <row r="197" spans="1:6" x14ac:dyDescent="0.2">
      <c r="A197">
        <v>5</v>
      </c>
      <c r="B197">
        <v>10</v>
      </c>
      <c r="C197">
        <v>35</v>
      </c>
      <c r="D197">
        <v>75</v>
      </c>
      <c r="E197">
        <v>0</v>
      </c>
      <c r="F197">
        <f t="shared" si="3"/>
        <v>0</v>
      </c>
    </row>
    <row r="198" spans="1:6" x14ac:dyDescent="0.2">
      <c r="A198">
        <v>5</v>
      </c>
      <c r="B198">
        <v>10</v>
      </c>
      <c r="C198">
        <v>36</v>
      </c>
      <c r="D198">
        <v>76</v>
      </c>
      <c r="E198">
        <v>0</v>
      </c>
      <c r="F198">
        <f t="shared" si="3"/>
        <v>0</v>
      </c>
    </row>
    <row r="199" spans="1:6" x14ac:dyDescent="0.2">
      <c r="A199">
        <v>5</v>
      </c>
      <c r="B199">
        <v>10</v>
      </c>
      <c r="C199">
        <v>37</v>
      </c>
      <c r="D199">
        <v>77</v>
      </c>
      <c r="E199">
        <v>0</v>
      </c>
      <c r="F199">
        <f t="shared" si="3"/>
        <v>0</v>
      </c>
    </row>
    <row r="200" spans="1:6" x14ac:dyDescent="0.2">
      <c r="A200">
        <v>5</v>
      </c>
      <c r="B200">
        <v>10</v>
      </c>
      <c r="C200">
        <v>38</v>
      </c>
      <c r="D200">
        <v>78</v>
      </c>
      <c r="E200">
        <v>0</v>
      </c>
      <c r="F200">
        <f t="shared" si="3"/>
        <v>0</v>
      </c>
    </row>
    <row r="201" spans="1:6" x14ac:dyDescent="0.2">
      <c r="A201">
        <v>5</v>
      </c>
      <c r="B201">
        <v>10</v>
      </c>
      <c r="C201">
        <v>39</v>
      </c>
      <c r="D201">
        <v>79</v>
      </c>
      <c r="E201">
        <v>0</v>
      </c>
      <c r="F201">
        <f t="shared" si="3"/>
        <v>0</v>
      </c>
    </row>
    <row r="202" spans="1:6" x14ac:dyDescent="0.2">
      <c r="A202">
        <v>6</v>
      </c>
      <c r="B202">
        <v>10</v>
      </c>
      <c r="C202">
        <v>0</v>
      </c>
      <c r="D202">
        <v>40</v>
      </c>
      <c r="E202">
        <v>0</v>
      </c>
      <c r="F202">
        <f t="shared" si="3"/>
        <v>0</v>
      </c>
    </row>
    <row r="203" spans="1:6" x14ac:dyDescent="0.2">
      <c r="A203">
        <v>6</v>
      </c>
      <c r="B203">
        <v>10</v>
      </c>
      <c r="C203">
        <v>1</v>
      </c>
      <c r="D203">
        <v>41</v>
      </c>
      <c r="E203">
        <v>0</v>
      </c>
      <c r="F203">
        <f t="shared" si="3"/>
        <v>0</v>
      </c>
    </row>
    <row r="204" spans="1:6" x14ac:dyDescent="0.2">
      <c r="A204">
        <v>6</v>
      </c>
      <c r="B204">
        <v>10</v>
      </c>
      <c r="C204">
        <v>2</v>
      </c>
      <c r="D204">
        <v>42</v>
      </c>
      <c r="E204">
        <v>0</v>
      </c>
      <c r="F204">
        <f t="shared" si="3"/>
        <v>0</v>
      </c>
    </row>
    <row r="205" spans="1:6" x14ac:dyDescent="0.2">
      <c r="A205">
        <v>6</v>
      </c>
      <c r="B205">
        <v>10</v>
      </c>
      <c r="C205">
        <v>3</v>
      </c>
      <c r="D205">
        <v>43</v>
      </c>
      <c r="E205">
        <v>0</v>
      </c>
      <c r="F205">
        <f t="shared" si="3"/>
        <v>0</v>
      </c>
    </row>
    <row r="206" spans="1:6" x14ac:dyDescent="0.2">
      <c r="A206">
        <v>6</v>
      </c>
      <c r="B206">
        <v>10</v>
      </c>
      <c r="C206">
        <v>4</v>
      </c>
      <c r="D206">
        <v>44</v>
      </c>
      <c r="E206">
        <v>0</v>
      </c>
      <c r="F206">
        <f t="shared" si="3"/>
        <v>0</v>
      </c>
    </row>
    <row r="207" spans="1:6" x14ac:dyDescent="0.2">
      <c r="A207">
        <v>6</v>
      </c>
      <c r="B207">
        <v>10</v>
      </c>
      <c r="C207">
        <v>5</v>
      </c>
      <c r="D207">
        <v>45</v>
      </c>
      <c r="E207">
        <v>0</v>
      </c>
      <c r="F207">
        <f t="shared" si="3"/>
        <v>0</v>
      </c>
    </row>
    <row r="208" spans="1:6" x14ac:dyDescent="0.2">
      <c r="A208">
        <v>6</v>
      </c>
      <c r="B208">
        <v>10</v>
      </c>
      <c r="C208">
        <v>6</v>
      </c>
      <c r="D208">
        <v>46</v>
      </c>
      <c r="E208">
        <v>0</v>
      </c>
      <c r="F208">
        <f t="shared" si="3"/>
        <v>0</v>
      </c>
    </row>
    <row r="209" spans="1:6" x14ac:dyDescent="0.2">
      <c r="A209">
        <v>6</v>
      </c>
      <c r="B209">
        <v>10</v>
      </c>
      <c r="C209">
        <v>7</v>
      </c>
      <c r="D209">
        <v>47</v>
      </c>
      <c r="E209">
        <v>0</v>
      </c>
      <c r="F209">
        <f t="shared" si="3"/>
        <v>0</v>
      </c>
    </row>
    <row r="210" spans="1:6" x14ac:dyDescent="0.2">
      <c r="A210">
        <v>6</v>
      </c>
      <c r="B210">
        <v>10</v>
      </c>
      <c r="C210">
        <v>8</v>
      </c>
      <c r="D210">
        <v>48</v>
      </c>
      <c r="E210">
        <v>0</v>
      </c>
      <c r="F210">
        <f t="shared" ref="F210:F273" si="4">(E210*0.81)</f>
        <v>0</v>
      </c>
    </row>
    <row r="211" spans="1:6" x14ac:dyDescent="0.2">
      <c r="A211">
        <v>6</v>
      </c>
      <c r="B211">
        <v>10</v>
      </c>
      <c r="C211">
        <v>9</v>
      </c>
      <c r="D211">
        <v>49</v>
      </c>
      <c r="E211">
        <v>0</v>
      </c>
      <c r="F211">
        <f t="shared" si="4"/>
        <v>0</v>
      </c>
    </row>
    <row r="212" spans="1:6" x14ac:dyDescent="0.2">
      <c r="A212">
        <v>6</v>
      </c>
      <c r="B212">
        <v>10</v>
      </c>
      <c r="C212">
        <v>10</v>
      </c>
      <c r="D212">
        <v>50</v>
      </c>
      <c r="E212">
        <v>0</v>
      </c>
      <c r="F212">
        <f t="shared" si="4"/>
        <v>0</v>
      </c>
    </row>
    <row r="213" spans="1:6" x14ac:dyDescent="0.2">
      <c r="A213">
        <v>6</v>
      </c>
      <c r="B213">
        <v>10</v>
      </c>
      <c r="C213">
        <v>11</v>
      </c>
      <c r="D213">
        <v>51</v>
      </c>
      <c r="E213">
        <v>5</v>
      </c>
      <c r="F213">
        <f t="shared" si="4"/>
        <v>4.0500000000000007</v>
      </c>
    </row>
    <row r="214" spans="1:6" x14ac:dyDescent="0.2">
      <c r="A214">
        <v>6</v>
      </c>
      <c r="B214">
        <v>10</v>
      </c>
      <c r="C214">
        <v>12</v>
      </c>
      <c r="D214">
        <v>52</v>
      </c>
      <c r="E214">
        <v>0</v>
      </c>
      <c r="F214">
        <f t="shared" si="4"/>
        <v>0</v>
      </c>
    </row>
    <row r="215" spans="1:6" x14ac:dyDescent="0.2">
      <c r="A215">
        <v>6</v>
      </c>
      <c r="B215">
        <v>10</v>
      </c>
      <c r="C215">
        <v>13</v>
      </c>
      <c r="D215">
        <v>53</v>
      </c>
      <c r="E215">
        <v>0</v>
      </c>
      <c r="F215">
        <f t="shared" si="4"/>
        <v>0</v>
      </c>
    </row>
    <row r="216" spans="1:6" x14ac:dyDescent="0.2">
      <c r="A216">
        <v>6</v>
      </c>
      <c r="B216">
        <v>10</v>
      </c>
      <c r="C216">
        <v>14</v>
      </c>
      <c r="D216">
        <v>54</v>
      </c>
      <c r="E216">
        <v>6</v>
      </c>
      <c r="F216">
        <f t="shared" si="4"/>
        <v>4.8600000000000003</v>
      </c>
    </row>
    <row r="217" spans="1:6" x14ac:dyDescent="0.2">
      <c r="A217">
        <v>6</v>
      </c>
      <c r="B217">
        <v>10</v>
      </c>
      <c r="C217">
        <v>15</v>
      </c>
      <c r="D217">
        <v>55</v>
      </c>
      <c r="E217">
        <v>0</v>
      </c>
      <c r="F217">
        <f t="shared" si="4"/>
        <v>0</v>
      </c>
    </row>
    <row r="218" spans="1:6" x14ac:dyDescent="0.2">
      <c r="A218">
        <v>6</v>
      </c>
      <c r="B218">
        <v>10</v>
      </c>
      <c r="C218">
        <v>16</v>
      </c>
      <c r="D218">
        <v>56</v>
      </c>
      <c r="E218">
        <v>0</v>
      </c>
      <c r="F218">
        <f t="shared" si="4"/>
        <v>0</v>
      </c>
    </row>
    <row r="219" spans="1:6" x14ac:dyDescent="0.2">
      <c r="A219">
        <v>6</v>
      </c>
      <c r="B219">
        <v>10</v>
      </c>
      <c r="C219">
        <v>17</v>
      </c>
      <c r="D219">
        <v>57</v>
      </c>
      <c r="E219">
        <v>5</v>
      </c>
      <c r="F219">
        <f t="shared" si="4"/>
        <v>4.0500000000000007</v>
      </c>
    </row>
    <row r="220" spans="1:6" x14ac:dyDescent="0.2">
      <c r="A220">
        <v>6</v>
      </c>
      <c r="B220">
        <v>10</v>
      </c>
      <c r="C220">
        <v>18</v>
      </c>
      <c r="D220">
        <v>58</v>
      </c>
      <c r="E220">
        <v>0</v>
      </c>
      <c r="F220">
        <f t="shared" si="4"/>
        <v>0</v>
      </c>
    </row>
    <row r="221" spans="1:6" x14ac:dyDescent="0.2">
      <c r="A221">
        <v>6</v>
      </c>
      <c r="B221">
        <v>10</v>
      </c>
      <c r="C221">
        <v>19</v>
      </c>
      <c r="D221">
        <v>59</v>
      </c>
      <c r="E221">
        <v>0</v>
      </c>
      <c r="F221">
        <f t="shared" si="4"/>
        <v>0</v>
      </c>
    </row>
    <row r="222" spans="1:6" x14ac:dyDescent="0.2">
      <c r="A222">
        <v>6</v>
      </c>
      <c r="B222">
        <v>10</v>
      </c>
      <c r="C222">
        <v>20</v>
      </c>
      <c r="D222">
        <v>60</v>
      </c>
      <c r="E222">
        <v>6</v>
      </c>
      <c r="F222">
        <f t="shared" si="4"/>
        <v>4.8600000000000003</v>
      </c>
    </row>
    <row r="223" spans="1:6" x14ac:dyDescent="0.2">
      <c r="A223">
        <v>6</v>
      </c>
      <c r="B223">
        <v>10</v>
      </c>
      <c r="C223">
        <v>21</v>
      </c>
      <c r="D223">
        <v>61</v>
      </c>
      <c r="E223">
        <v>0</v>
      </c>
      <c r="F223">
        <f t="shared" si="4"/>
        <v>0</v>
      </c>
    </row>
    <row r="224" spans="1:6" x14ac:dyDescent="0.2">
      <c r="A224">
        <v>6</v>
      </c>
      <c r="B224">
        <v>10</v>
      </c>
      <c r="C224">
        <v>22</v>
      </c>
      <c r="D224">
        <v>62</v>
      </c>
      <c r="E224">
        <v>0</v>
      </c>
      <c r="F224">
        <f t="shared" si="4"/>
        <v>0</v>
      </c>
    </row>
    <row r="225" spans="1:6" x14ac:dyDescent="0.2">
      <c r="A225">
        <v>6</v>
      </c>
      <c r="B225">
        <v>10</v>
      </c>
      <c r="C225">
        <v>23</v>
      </c>
      <c r="D225">
        <v>63</v>
      </c>
      <c r="E225">
        <v>0</v>
      </c>
      <c r="F225">
        <f t="shared" si="4"/>
        <v>0</v>
      </c>
    </row>
    <row r="226" spans="1:6" x14ac:dyDescent="0.2">
      <c r="A226">
        <v>6</v>
      </c>
      <c r="B226">
        <v>10</v>
      </c>
      <c r="C226">
        <v>24</v>
      </c>
      <c r="D226">
        <v>64</v>
      </c>
      <c r="E226">
        <v>0</v>
      </c>
      <c r="F226">
        <f t="shared" si="4"/>
        <v>0</v>
      </c>
    </row>
    <row r="227" spans="1:6" x14ac:dyDescent="0.2">
      <c r="A227">
        <v>6</v>
      </c>
      <c r="B227">
        <v>10</v>
      </c>
      <c r="C227">
        <v>25</v>
      </c>
      <c r="D227">
        <v>65</v>
      </c>
      <c r="E227">
        <v>0</v>
      </c>
      <c r="F227">
        <f t="shared" si="4"/>
        <v>0</v>
      </c>
    </row>
    <row r="228" spans="1:6" x14ac:dyDescent="0.2">
      <c r="A228">
        <v>6</v>
      </c>
      <c r="B228">
        <v>10</v>
      </c>
      <c r="C228">
        <v>26</v>
      </c>
      <c r="D228">
        <v>66</v>
      </c>
      <c r="E228">
        <v>0</v>
      </c>
      <c r="F228">
        <f t="shared" si="4"/>
        <v>0</v>
      </c>
    </row>
    <row r="229" spans="1:6" x14ac:dyDescent="0.2">
      <c r="A229">
        <v>6</v>
      </c>
      <c r="B229">
        <v>10</v>
      </c>
      <c r="C229">
        <v>27</v>
      </c>
      <c r="D229">
        <v>67</v>
      </c>
      <c r="E229">
        <v>0</v>
      </c>
      <c r="F229">
        <f t="shared" si="4"/>
        <v>0</v>
      </c>
    </row>
    <row r="230" spans="1:6" x14ac:dyDescent="0.2">
      <c r="A230">
        <v>6</v>
      </c>
      <c r="B230">
        <v>10</v>
      </c>
      <c r="C230">
        <v>28</v>
      </c>
      <c r="D230">
        <v>68</v>
      </c>
      <c r="E230">
        <v>1</v>
      </c>
      <c r="F230">
        <f t="shared" si="4"/>
        <v>0.81</v>
      </c>
    </row>
    <row r="231" spans="1:6" x14ac:dyDescent="0.2">
      <c r="A231">
        <v>6</v>
      </c>
      <c r="B231">
        <v>10</v>
      </c>
      <c r="C231">
        <v>29</v>
      </c>
      <c r="D231">
        <v>69</v>
      </c>
      <c r="E231">
        <v>0</v>
      </c>
      <c r="F231">
        <f t="shared" si="4"/>
        <v>0</v>
      </c>
    </row>
    <row r="232" spans="1:6" x14ac:dyDescent="0.2">
      <c r="A232">
        <v>6</v>
      </c>
      <c r="B232">
        <v>10</v>
      </c>
      <c r="C232">
        <v>30</v>
      </c>
      <c r="D232">
        <v>70</v>
      </c>
      <c r="E232">
        <v>0</v>
      </c>
      <c r="F232">
        <f t="shared" si="4"/>
        <v>0</v>
      </c>
    </row>
    <row r="233" spans="1:6" x14ac:dyDescent="0.2">
      <c r="A233">
        <v>6</v>
      </c>
      <c r="B233">
        <v>10</v>
      </c>
      <c r="C233">
        <v>31</v>
      </c>
      <c r="D233">
        <v>71</v>
      </c>
      <c r="E233">
        <v>0</v>
      </c>
      <c r="F233">
        <f t="shared" si="4"/>
        <v>0</v>
      </c>
    </row>
    <row r="234" spans="1:6" x14ac:dyDescent="0.2">
      <c r="A234">
        <v>6</v>
      </c>
      <c r="B234">
        <v>10</v>
      </c>
      <c r="C234">
        <v>32</v>
      </c>
      <c r="D234">
        <v>72</v>
      </c>
      <c r="E234">
        <v>0</v>
      </c>
      <c r="F234">
        <f t="shared" si="4"/>
        <v>0</v>
      </c>
    </row>
    <row r="235" spans="1:6" x14ac:dyDescent="0.2">
      <c r="A235">
        <v>6</v>
      </c>
      <c r="B235">
        <v>10</v>
      </c>
      <c r="C235">
        <v>33</v>
      </c>
      <c r="D235">
        <v>73</v>
      </c>
      <c r="E235">
        <v>0</v>
      </c>
      <c r="F235">
        <f t="shared" si="4"/>
        <v>0</v>
      </c>
    </row>
    <row r="236" spans="1:6" x14ac:dyDescent="0.2">
      <c r="A236">
        <v>6</v>
      </c>
      <c r="B236">
        <v>10</v>
      </c>
      <c r="C236">
        <v>34</v>
      </c>
      <c r="D236">
        <v>74</v>
      </c>
      <c r="E236">
        <v>0</v>
      </c>
      <c r="F236">
        <f t="shared" si="4"/>
        <v>0</v>
      </c>
    </row>
    <row r="237" spans="1:6" x14ac:dyDescent="0.2">
      <c r="A237">
        <v>6</v>
      </c>
      <c r="B237">
        <v>10</v>
      </c>
      <c r="C237">
        <v>35</v>
      </c>
      <c r="D237">
        <v>75</v>
      </c>
      <c r="E237">
        <v>0</v>
      </c>
      <c r="F237">
        <f t="shared" si="4"/>
        <v>0</v>
      </c>
    </row>
    <row r="238" spans="1:6" x14ac:dyDescent="0.2">
      <c r="A238">
        <v>6</v>
      </c>
      <c r="B238">
        <v>10</v>
      </c>
      <c r="C238">
        <v>36</v>
      </c>
      <c r="D238">
        <v>76</v>
      </c>
      <c r="E238">
        <v>0</v>
      </c>
      <c r="F238">
        <f t="shared" si="4"/>
        <v>0</v>
      </c>
    </row>
    <row r="239" spans="1:6" x14ac:dyDescent="0.2">
      <c r="A239">
        <v>6</v>
      </c>
      <c r="B239">
        <v>10</v>
      </c>
      <c r="C239">
        <v>37</v>
      </c>
      <c r="D239">
        <v>77</v>
      </c>
      <c r="E239">
        <v>0</v>
      </c>
      <c r="F239">
        <f t="shared" si="4"/>
        <v>0</v>
      </c>
    </row>
    <row r="240" spans="1:6" x14ac:dyDescent="0.2">
      <c r="A240">
        <v>6</v>
      </c>
      <c r="B240">
        <v>10</v>
      </c>
      <c r="C240">
        <v>38</v>
      </c>
      <c r="D240">
        <v>78</v>
      </c>
      <c r="E240">
        <v>0</v>
      </c>
      <c r="F240">
        <f t="shared" si="4"/>
        <v>0</v>
      </c>
    </row>
    <row r="241" spans="1:6" x14ac:dyDescent="0.2">
      <c r="A241">
        <v>6</v>
      </c>
      <c r="B241">
        <v>10</v>
      </c>
      <c r="C241">
        <v>39</v>
      </c>
      <c r="D241">
        <v>79</v>
      </c>
      <c r="E241">
        <v>0</v>
      </c>
      <c r="F241">
        <f t="shared" si="4"/>
        <v>0</v>
      </c>
    </row>
    <row r="242" spans="1:6" x14ac:dyDescent="0.2">
      <c r="A242">
        <v>7</v>
      </c>
      <c r="B242">
        <v>10</v>
      </c>
      <c r="C242">
        <v>0</v>
      </c>
      <c r="D242">
        <v>40</v>
      </c>
      <c r="E242">
        <v>0</v>
      </c>
      <c r="F242">
        <f t="shared" si="4"/>
        <v>0</v>
      </c>
    </row>
    <row r="243" spans="1:6" x14ac:dyDescent="0.2">
      <c r="A243">
        <v>7</v>
      </c>
      <c r="B243">
        <v>10</v>
      </c>
      <c r="C243">
        <v>1</v>
      </c>
      <c r="D243">
        <v>41</v>
      </c>
      <c r="E243">
        <v>0</v>
      </c>
      <c r="F243">
        <f t="shared" si="4"/>
        <v>0</v>
      </c>
    </row>
    <row r="244" spans="1:6" x14ac:dyDescent="0.2">
      <c r="A244">
        <v>7</v>
      </c>
      <c r="B244">
        <v>10</v>
      </c>
      <c r="C244">
        <v>2</v>
      </c>
      <c r="D244">
        <v>42</v>
      </c>
      <c r="E244">
        <v>0</v>
      </c>
      <c r="F244">
        <f t="shared" si="4"/>
        <v>0</v>
      </c>
    </row>
    <row r="245" spans="1:6" x14ac:dyDescent="0.2">
      <c r="A245">
        <v>7</v>
      </c>
      <c r="B245">
        <v>10</v>
      </c>
      <c r="C245">
        <v>3</v>
      </c>
      <c r="D245">
        <v>43</v>
      </c>
      <c r="E245">
        <v>0</v>
      </c>
      <c r="F245">
        <f t="shared" si="4"/>
        <v>0</v>
      </c>
    </row>
    <row r="246" spans="1:6" x14ac:dyDescent="0.2">
      <c r="A246">
        <v>7</v>
      </c>
      <c r="B246">
        <v>10</v>
      </c>
      <c r="C246">
        <v>4</v>
      </c>
      <c r="D246">
        <v>44</v>
      </c>
      <c r="E246">
        <v>0</v>
      </c>
      <c r="F246">
        <f t="shared" si="4"/>
        <v>0</v>
      </c>
    </row>
    <row r="247" spans="1:6" x14ac:dyDescent="0.2">
      <c r="A247">
        <v>7</v>
      </c>
      <c r="B247">
        <v>10</v>
      </c>
      <c r="C247">
        <v>5</v>
      </c>
      <c r="D247">
        <v>45</v>
      </c>
      <c r="E247">
        <v>0</v>
      </c>
      <c r="F247">
        <f t="shared" si="4"/>
        <v>0</v>
      </c>
    </row>
    <row r="248" spans="1:6" x14ac:dyDescent="0.2">
      <c r="A248">
        <v>7</v>
      </c>
      <c r="B248">
        <v>10</v>
      </c>
      <c r="C248">
        <v>6</v>
      </c>
      <c r="D248">
        <v>46</v>
      </c>
      <c r="E248">
        <v>0</v>
      </c>
      <c r="F248">
        <f t="shared" si="4"/>
        <v>0</v>
      </c>
    </row>
    <row r="249" spans="1:6" x14ac:dyDescent="0.2">
      <c r="A249">
        <v>7</v>
      </c>
      <c r="B249">
        <v>10</v>
      </c>
      <c r="C249">
        <v>7</v>
      </c>
      <c r="D249">
        <v>47</v>
      </c>
      <c r="E249">
        <v>0</v>
      </c>
      <c r="F249">
        <f t="shared" si="4"/>
        <v>0</v>
      </c>
    </row>
    <row r="250" spans="1:6" x14ac:dyDescent="0.2">
      <c r="A250">
        <v>7</v>
      </c>
      <c r="B250">
        <v>10</v>
      </c>
      <c r="C250">
        <v>8</v>
      </c>
      <c r="D250">
        <v>48</v>
      </c>
      <c r="E250">
        <v>0</v>
      </c>
      <c r="F250">
        <f t="shared" si="4"/>
        <v>0</v>
      </c>
    </row>
    <row r="251" spans="1:6" x14ac:dyDescent="0.2">
      <c r="A251">
        <v>7</v>
      </c>
      <c r="B251">
        <v>10</v>
      </c>
      <c r="C251">
        <v>9</v>
      </c>
      <c r="D251">
        <v>49</v>
      </c>
      <c r="E251">
        <v>3</v>
      </c>
      <c r="F251">
        <f t="shared" si="4"/>
        <v>2.4300000000000002</v>
      </c>
    </row>
    <row r="252" spans="1:6" x14ac:dyDescent="0.2">
      <c r="A252">
        <v>7</v>
      </c>
      <c r="B252">
        <v>10</v>
      </c>
      <c r="C252">
        <v>10</v>
      </c>
      <c r="D252">
        <v>50</v>
      </c>
      <c r="E252">
        <v>0</v>
      </c>
      <c r="F252">
        <f t="shared" si="4"/>
        <v>0</v>
      </c>
    </row>
    <row r="253" spans="1:6" x14ac:dyDescent="0.2">
      <c r="A253">
        <v>7</v>
      </c>
      <c r="B253">
        <v>10</v>
      </c>
      <c r="C253">
        <v>11</v>
      </c>
      <c r="D253">
        <v>51</v>
      </c>
      <c r="E253">
        <v>0</v>
      </c>
      <c r="F253">
        <f t="shared" si="4"/>
        <v>0</v>
      </c>
    </row>
    <row r="254" spans="1:6" x14ac:dyDescent="0.2">
      <c r="A254">
        <v>7</v>
      </c>
      <c r="B254">
        <v>10</v>
      </c>
      <c r="C254">
        <v>12</v>
      </c>
      <c r="D254">
        <v>52</v>
      </c>
      <c r="E254">
        <v>0</v>
      </c>
      <c r="F254">
        <f t="shared" si="4"/>
        <v>0</v>
      </c>
    </row>
    <row r="255" spans="1:6" x14ac:dyDescent="0.2">
      <c r="A255">
        <v>7</v>
      </c>
      <c r="B255">
        <v>10</v>
      </c>
      <c r="C255">
        <v>13</v>
      </c>
      <c r="D255">
        <v>53</v>
      </c>
      <c r="E255">
        <v>0</v>
      </c>
      <c r="F255">
        <f t="shared" si="4"/>
        <v>0</v>
      </c>
    </row>
    <row r="256" spans="1:6" x14ac:dyDescent="0.2">
      <c r="A256">
        <v>7</v>
      </c>
      <c r="B256">
        <v>10</v>
      </c>
      <c r="C256">
        <v>14</v>
      </c>
      <c r="D256">
        <v>54</v>
      </c>
      <c r="E256">
        <v>0</v>
      </c>
      <c r="F256">
        <f t="shared" si="4"/>
        <v>0</v>
      </c>
    </row>
    <row r="257" spans="1:6" x14ac:dyDescent="0.2">
      <c r="A257">
        <v>7</v>
      </c>
      <c r="B257">
        <v>10</v>
      </c>
      <c r="C257">
        <v>15</v>
      </c>
      <c r="D257">
        <v>55</v>
      </c>
      <c r="E257">
        <v>5</v>
      </c>
      <c r="F257">
        <f t="shared" si="4"/>
        <v>4.0500000000000007</v>
      </c>
    </row>
    <row r="258" spans="1:6" x14ac:dyDescent="0.2">
      <c r="A258">
        <v>7</v>
      </c>
      <c r="B258">
        <v>10</v>
      </c>
      <c r="C258">
        <v>16</v>
      </c>
      <c r="D258">
        <v>56</v>
      </c>
      <c r="E258">
        <v>0</v>
      </c>
      <c r="F258">
        <f t="shared" si="4"/>
        <v>0</v>
      </c>
    </row>
    <row r="259" spans="1:6" x14ac:dyDescent="0.2">
      <c r="A259">
        <v>7</v>
      </c>
      <c r="B259">
        <v>10</v>
      </c>
      <c r="C259">
        <v>17</v>
      </c>
      <c r="D259">
        <v>57</v>
      </c>
      <c r="E259">
        <v>0</v>
      </c>
      <c r="F259">
        <f t="shared" si="4"/>
        <v>0</v>
      </c>
    </row>
    <row r="260" spans="1:6" x14ac:dyDescent="0.2">
      <c r="A260">
        <v>7</v>
      </c>
      <c r="B260">
        <v>10</v>
      </c>
      <c r="C260">
        <v>18</v>
      </c>
      <c r="D260">
        <v>58</v>
      </c>
      <c r="E260">
        <v>0</v>
      </c>
      <c r="F260">
        <f t="shared" si="4"/>
        <v>0</v>
      </c>
    </row>
    <row r="261" spans="1:6" x14ac:dyDescent="0.2">
      <c r="A261">
        <v>7</v>
      </c>
      <c r="B261">
        <v>10</v>
      </c>
      <c r="C261">
        <v>19</v>
      </c>
      <c r="D261">
        <v>59</v>
      </c>
      <c r="E261">
        <v>0</v>
      </c>
      <c r="F261">
        <f t="shared" si="4"/>
        <v>0</v>
      </c>
    </row>
    <row r="262" spans="1:6" x14ac:dyDescent="0.2">
      <c r="A262">
        <v>7</v>
      </c>
      <c r="B262">
        <v>10</v>
      </c>
      <c r="C262">
        <v>20</v>
      </c>
      <c r="D262">
        <v>60</v>
      </c>
      <c r="E262">
        <v>0</v>
      </c>
      <c r="F262">
        <f t="shared" si="4"/>
        <v>0</v>
      </c>
    </row>
    <row r="263" spans="1:6" x14ac:dyDescent="0.2">
      <c r="A263">
        <v>7</v>
      </c>
      <c r="B263">
        <v>10</v>
      </c>
      <c r="C263">
        <v>21</v>
      </c>
      <c r="D263">
        <v>61</v>
      </c>
      <c r="E263">
        <v>0</v>
      </c>
      <c r="F263">
        <f t="shared" si="4"/>
        <v>0</v>
      </c>
    </row>
    <row r="264" spans="1:6" x14ac:dyDescent="0.2">
      <c r="A264">
        <v>7</v>
      </c>
      <c r="B264">
        <v>10</v>
      </c>
      <c r="C264">
        <v>22</v>
      </c>
      <c r="D264">
        <v>62</v>
      </c>
      <c r="E264">
        <v>0</v>
      </c>
      <c r="F264">
        <f t="shared" si="4"/>
        <v>0</v>
      </c>
    </row>
    <row r="265" spans="1:6" x14ac:dyDescent="0.2">
      <c r="A265">
        <v>7</v>
      </c>
      <c r="B265">
        <v>10</v>
      </c>
      <c r="C265">
        <v>23</v>
      </c>
      <c r="D265">
        <v>63</v>
      </c>
      <c r="E265">
        <v>0</v>
      </c>
      <c r="F265">
        <f t="shared" si="4"/>
        <v>0</v>
      </c>
    </row>
    <row r="266" spans="1:6" x14ac:dyDescent="0.2">
      <c r="A266">
        <v>7</v>
      </c>
      <c r="B266">
        <v>10</v>
      </c>
      <c r="C266">
        <v>24</v>
      </c>
      <c r="D266">
        <v>64</v>
      </c>
      <c r="E266">
        <v>1</v>
      </c>
      <c r="F266">
        <f t="shared" si="4"/>
        <v>0.81</v>
      </c>
    </row>
    <row r="267" spans="1:6" x14ac:dyDescent="0.2">
      <c r="A267">
        <v>7</v>
      </c>
      <c r="B267">
        <v>10</v>
      </c>
      <c r="C267">
        <v>25</v>
      </c>
      <c r="D267">
        <v>65</v>
      </c>
      <c r="E267">
        <v>0</v>
      </c>
      <c r="F267">
        <f t="shared" si="4"/>
        <v>0</v>
      </c>
    </row>
    <row r="268" spans="1:6" x14ac:dyDescent="0.2">
      <c r="A268">
        <v>7</v>
      </c>
      <c r="B268">
        <v>10</v>
      </c>
      <c r="C268">
        <v>26</v>
      </c>
      <c r="D268">
        <v>66</v>
      </c>
      <c r="E268">
        <v>0</v>
      </c>
      <c r="F268">
        <f t="shared" si="4"/>
        <v>0</v>
      </c>
    </row>
    <row r="269" spans="1:6" x14ac:dyDescent="0.2">
      <c r="A269">
        <v>7</v>
      </c>
      <c r="B269">
        <v>10</v>
      </c>
      <c r="C269">
        <v>27</v>
      </c>
      <c r="D269">
        <v>67</v>
      </c>
      <c r="E269">
        <v>0</v>
      </c>
      <c r="F269">
        <f t="shared" si="4"/>
        <v>0</v>
      </c>
    </row>
    <row r="270" spans="1:6" x14ac:dyDescent="0.2">
      <c r="A270">
        <v>7</v>
      </c>
      <c r="B270">
        <v>10</v>
      </c>
      <c r="C270">
        <v>28</v>
      </c>
      <c r="D270">
        <v>68</v>
      </c>
      <c r="E270">
        <v>0</v>
      </c>
      <c r="F270">
        <f t="shared" si="4"/>
        <v>0</v>
      </c>
    </row>
    <row r="271" spans="1:6" x14ac:dyDescent="0.2">
      <c r="A271">
        <v>7</v>
      </c>
      <c r="B271">
        <v>10</v>
      </c>
      <c r="C271">
        <v>29</v>
      </c>
      <c r="D271">
        <v>69</v>
      </c>
      <c r="E271">
        <v>0</v>
      </c>
      <c r="F271">
        <f t="shared" si="4"/>
        <v>0</v>
      </c>
    </row>
    <row r="272" spans="1:6" x14ac:dyDescent="0.2">
      <c r="A272">
        <v>7</v>
      </c>
      <c r="B272">
        <v>10</v>
      </c>
      <c r="C272">
        <v>30</v>
      </c>
      <c r="D272">
        <v>70</v>
      </c>
      <c r="E272">
        <v>0</v>
      </c>
      <c r="F272">
        <f t="shared" si="4"/>
        <v>0</v>
      </c>
    </row>
    <row r="273" spans="1:6" x14ac:dyDescent="0.2">
      <c r="A273">
        <v>7</v>
      </c>
      <c r="B273">
        <v>10</v>
      </c>
      <c r="C273">
        <v>31</v>
      </c>
      <c r="D273">
        <v>71</v>
      </c>
      <c r="E273">
        <v>0</v>
      </c>
      <c r="F273">
        <f t="shared" si="4"/>
        <v>0</v>
      </c>
    </row>
    <row r="274" spans="1:6" x14ac:dyDescent="0.2">
      <c r="A274">
        <v>7</v>
      </c>
      <c r="B274">
        <v>10</v>
      </c>
      <c r="C274">
        <v>32</v>
      </c>
      <c r="D274">
        <v>72</v>
      </c>
      <c r="E274">
        <v>0</v>
      </c>
      <c r="F274">
        <f t="shared" ref="F274:F337" si="5">(E274*0.81)</f>
        <v>0</v>
      </c>
    </row>
    <row r="275" spans="1:6" x14ac:dyDescent="0.2">
      <c r="A275">
        <v>7</v>
      </c>
      <c r="B275">
        <v>10</v>
      </c>
      <c r="C275">
        <v>33</v>
      </c>
      <c r="D275">
        <v>73</v>
      </c>
      <c r="E275">
        <v>0</v>
      </c>
      <c r="F275">
        <f t="shared" si="5"/>
        <v>0</v>
      </c>
    </row>
    <row r="276" spans="1:6" x14ac:dyDescent="0.2">
      <c r="A276">
        <v>7</v>
      </c>
      <c r="B276">
        <v>10</v>
      </c>
      <c r="C276">
        <v>34</v>
      </c>
      <c r="D276">
        <v>74</v>
      </c>
      <c r="E276">
        <v>0</v>
      </c>
      <c r="F276">
        <f t="shared" si="5"/>
        <v>0</v>
      </c>
    </row>
    <row r="277" spans="1:6" x14ac:dyDescent="0.2">
      <c r="A277">
        <v>7</v>
      </c>
      <c r="B277">
        <v>10</v>
      </c>
      <c r="C277">
        <v>35</v>
      </c>
      <c r="D277">
        <v>75</v>
      </c>
      <c r="E277">
        <v>0</v>
      </c>
      <c r="F277">
        <f t="shared" si="5"/>
        <v>0</v>
      </c>
    </row>
    <row r="278" spans="1:6" x14ac:dyDescent="0.2">
      <c r="A278">
        <v>7</v>
      </c>
      <c r="B278">
        <v>10</v>
      </c>
      <c r="C278">
        <v>36</v>
      </c>
      <c r="D278">
        <v>76</v>
      </c>
      <c r="E278">
        <v>0</v>
      </c>
      <c r="F278">
        <f t="shared" si="5"/>
        <v>0</v>
      </c>
    </row>
    <row r="279" spans="1:6" x14ac:dyDescent="0.2">
      <c r="A279">
        <v>7</v>
      </c>
      <c r="B279">
        <v>10</v>
      </c>
      <c r="C279">
        <v>37</v>
      </c>
      <c r="D279">
        <v>77</v>
      </c>
      <c r="E279">
        <v>0</v>
      </c>
      <c r="F279">
        <f t="shared" si="5"/>
        <v>0</v>
      </c>
    </row>
    <row r="280" spans="1:6" x14ac:dyDescent="0.2">
      <c r="A280">
        <v>7</v>
      </c>
      <c r="B280">
        <v>10</v>
      </c>
      <c r="C280">
        <v>38</v>
      </c>
      <c r="D280">
        <v>78</v>
      </c>
      <c r="E280">
        <v>0</v>
      </c>
      <c r="F280">
        <f t="shared" si="5"/>
        <v>0</v>
      </c>
    </row>
    <row r="281" spans="1:6" x14ac:dyDescent="0.2">
      <c r="A281">
        <v>7</v>
      </c>
      <c r="B281">
        <v>10</v>
      </c>
      <c r="C281">
        <v>39</v>
      </c>
      <c r="D281">
        <v>79</v>
      </c>
      <c r="E281">
        <v>0</v>
      </c>
      <c r="F281">
        <f t="shared" si="5"/>
        <v>0</v>
      </c>
    </row>
    <row r="282" spans="1:6" x14ac:dyDescent="0.2">
      <c r="A282">
        <v>8</v>
      </c>
      <c r="B282">
        <v>10</v>
      </c>
      <c r="C282">
        <v>0</v>
      </c>
      <c r="D282">
        <v>40</v>
      </c>
      <c r="E282">
        <v>0</v>
      </c>
      <c r="F282">
        <f t="shared" si="5"/>
        <v>0</v>
      </c>
    </row>
    <row r="283" spans="1:6" x14ac:dyDescent="0.2">
      <c r="A283">
        <v>8</v>
      </c>
      <c r="B283">
        <v>10</v>
      </c>
      <c r="C283">
        <v>1</v>
      </c>
      <c r="D283">
        <v>41</v>
      </c>
      <c r="E283">
        <v>0</v>
      </c>
      <c r="F283">
        <f t="shared" si="5"/>
        <v>0</v>
      </c>
    </row>
    <row r="284" spans="1:6" x14ac:dyDescent="0.2">
      <c r="A284">
        <v>8</v>
      </c>
      <c r="B284">
        <v>10</v>
      </c>
      <c r="C284">
        <v>2</v>
      </c>
      <c r="D284">
        <v>42</v>
      </c>
      <c r="E284">
        <v>0</v>
      </c>
      <c r="F284">
        <f t="shared" si="5"/>
        <v>0</v>
      </c>
    </row>
    <row r="285" spans="1:6" x14ac:dyDescent="0.2">
      <c r="A285">
        <v>8</v>
      </c>
      <c r="B285">
        <v>10</v>
      </c>
      <c r="C285">
        <v>3</v>
      </c>
      <c r="D285">
        <v>43</v>
      </c>
      <c r="E285">
        <v>0</v>
      </c>
      <c r="F285">
        <f t="shared" si="5"/>
        <v>0</v>
      </c>
    </row>
    <row r="286" spans="1:6" x14ac:dyDescent="0.2">
      <c r="A286">
        <v>8</v>
      </c>
      <c r="B286">
        <v>10</v>
      </c>
      <c r="C286">
        <v>4</v>
      </c>
      <c r="D286">
        <v>44</v>
      </c>
      <c r="E286">
        <v>0</v>
      </c>
      <c r="F286">
        <f t="shared" si="5"/>
        <v>0</v>
      </c>
    </row>
    <row r="287" spans="1:6" x14ac:dyDescent="0.2">
      <c r="A287">
        <v>8</v>
      </c>
      <c r="B287">
        <v>10</v>
      </c>
      <c r="C287">
        <v>5</v>
      </c>
      <c r="D287">
        <v>45</v>
      </c>
      <c r="E287">
        <v>1</v>
      </c>
      <c r="F287">
        <f t="shared" si="5"/>
        <v>0.81</v>
      </c>
    </row>
    <row r="288" spans="1:6" x14ac:dyDescent="0.2">
      <c r="A288">
        <v>8</v>
      </c>
      <c r="B288">
        <v>10</v>
      </c>
      <c r="C288">
        <v>6</v>
      </c>
      <c r="D288">
        <v>46</v>
      </c>
      <c r="E288">
        <v>0</v>
      </c>
      <c r="F288">
        <f t="shared" si="5"/>
        <v>0</v>
      </c>
    </row>
    <row r="289" spans="1:6" x14ac:dyDescent="0.2">
      <c r="A289">
        <v>8</v>
      </c>
      <c r="B289">
        <v>10</v>
      </c>
      <c r="C289">
        <v>7</v>
      </c>
      <c r="D289">
        <v>47</v>
      </c>
      <c r="E289">
        <v>0</v>
      </c>
      <c r="F289">
        <f t="shared" si="5"/>
        <v>0</v>
      </c>
    </row>
    <row r="290" spans="1:6" x14ac:dyDescent="0.2">
      <c r="A290">
        <v>8</v>
      </c>
      <c r="B290">
        <v>10</v>
      </c>
      <c r="C290">
        <v>8</v>
      </c>
      <c r="D290">
        <v>48</v>
      </c>
      <c r="E290">
        <v>0</v>
      </c>
      <c r="F290">
        <f t="shared" si="5"/>
        <v>0</v>
      </c>
    </row>
    <row r="291" spans="1:6" x14ac:dyDescent="0.2">
      <c r="A291">
        <v>8</v>
      </c>
      <c r="B291">
        <v>10</v>
      </c>
      <c r="C291">
        <v>9</v>
      </c>
      <c r="D291">
        <v>49</v>
      </c>
      <c r="E291">
        <v>0</v>
      </c>
      <c r="F291">
        <f t="shared" si="5"/>
        <v>0</v>
      </c>
    </row>
    <row r="292" spans="1:6" x14ac:dyDescent="0.2">
      <c r="A292">
        <v>8</v>
      </c>
      <c r="B292">
        <v>10</v>
      </c>
      <c r="C292">
        <v>10</v>
      </c>
      <c r="D292">
        <v>50</v>
      </c>
      <c r="E292">
        <v>0</v>
      </c>
      <c r="F292">
        <f t="shared" si="5"/>
        <v>0</v>
      </c>
    </row>
    <row r="293" spans="1:6" x14ac:dyDescent="0.2">
      <c r="A293">
        <v>8</v>
      </c>
      <c r="B293">
        <v>10</v>
      </c>
      <c r="C293">
        <v>11</v>
      </c>
      <c r="D293">
        <v>51</v>
      </c>
      <c r="E293">
        <v>1</v>
      </c>
      <c r="F293">
        <f t="shared" si="5"/>
        <v>0.81</v>
      </c>
    </row>
    <row r="294" spans="1:6" x14ac:dyDescent="0.2">
      <c r="A294">
        <v>8</v>
      </c>
      <c r="B294">
        <v>10</v>
      </c>
      <c r="C294">
        <v>12</v>
      </c>
      <c r="D294">
        <v>52</v>
      </c>
      <c r="E294">
        <v>0</v>
      </c>
      <c r="F294">
        <f t="shared" si="5"/>
        <v>0</v>
      </c>
    </row>
    <row r="295" spans="1:6" x14ac:dyDescent="0.2">
      <c r="A295">
        <v>8</v>
      </c>
      <c r="B295">
        <v>10</v>
      </c>
      <c r="C295">
        <v>13</v>
      </c>
      <c r="D295">
        <v>53</v>
      </c>
      <c r="E295">
        <v>0</v>
      </c>
      <c r="F295">
        <f t="shared" si="5"/>
        <v>0</v>
      </c>
    </row>
    <row r="296" spans="1:6" x14ac:dyDescent="0.2">
      <c r="A296">
        <v>8</v>
      </c>
      <c r="B296">
        <v>10</v>
      </c>
      <c r="C296">
        <v>14</v>
      </c>
      <c r="D296">
        <v>54</v>
      </c>
      <c r="E296">
        <v>1</v>
      </c>
      <c r="F296">
        <f t="shared" si="5"/>
        <v>0.81</v>
      </c>
    </row>
    <row r="297" spans="1:6" x14ac:dyDescent="0.2">
      <c r="A297">
        <v>8</v>
      </c>
      <c r="B297">
        <v>10</v>
      </c>
      <c r="C297">
        <v>15</v>
      </c>
      <c r="D297">
        <v>55</v>
      </c>
      <c r="E297">
        <v>0</v>
      </c>
      <c r="F297">
        <f t="shared" si="5"/>
        <v>0</v>
      </c>
    </row>
    <row r="298" spans="1:6" x14ac:dyDescent="0.2">
      <c r="A298">
        <v>8</v>
      </c>
      <c r="B298">
        <v>10</v>
      </c>
      <c r="C298">
        <v>16</v>
      </c>
      <c r="D298">
        <v>56</v>
      </c>
      <c r="E298">
        <v>0</v>
      </c>
      <c r="F298">
        <f t="shared" si="5"/>
        <v>0</v>
      </c>
    </row>
    <row r="299" spans="1:6" x14ac:dyDescent="0.2">
      <c r="A299">
        <v>8</v>
      </c>
      <c r="B299">
        <v>10</v>
      </c>
      <c r="C299">
        <v>17</v>
      </c>
      <c r="D299">
        <v>57</v>
      </c>
      <c r="E299">
        <v>0</v>
      </c>
      <c r="F299">
        <f t="shared" si="5"/>
        <v>0</v>
      </c>
    </row>
    <row r="300" spans="1:6" x14ac:dyDescent="0.2">
      <c r="A300">
        <v>8</v>
      </c>
      <c r="B300">
        <v>10</v>
      </c>
      <c r="C300">
        <v>18</v>
      </c>
      <c r="D300">
        <v>58</v>
      </c>
      <c r="E300">
        <v>0</v>
      </c>
      <c r="F300">
        <f t="shared" si="5"/>
        <v>0</v>
      </c>
    </row>
    <row r="301" spans="1:6" x14ac:dyDescent="0.2">
      <c r="A301">
        <v>8</v>
      </c>
      <c r="B301">
        <v>10</v>
      </c>
      <c r="C301">
        <v>19</v>
      </c>
      <c r="D301">
        <v>59</v>
      </c>
      <c r="E301">
        <v>0</v>
      </c>
      <c r="F301">
        <f t="shared" si="5"/>
        <v>0</v>
      </c>
    </row>
    <row r="302" spans="1:6" x14ac:dyDescent="0.2">
      <c r="A302">
        <v>8</v>
      </c>
      <c r="B302">
        <v>10</v>
      </c>
      <c r="C302">
        <v>20</v>
      </c>
      <c r="D302">
        <v>60</v>
      </c>
      <c r="E302">
        <v>0</v>
      </c>
      <c r="F302">
        <f t="shared" si="5"/>
        <v>0</v>
      </c>
    </row>
    <row r="303" spans="1:6" x14ac:dyDescent="0.2">
      <c r="A303">
        <v>8</v>
      </c>
      <c r="B303">
        <v>10</v>
      </c>
      <c r="C303">
        <v>21</v>
      </c>
      <c r="D303">
        <v>61</v>
      </c>
      <c r="E303">
        <v>0</v>
      </c>
      <c r="F303">
        <f t="shared" si="5"/>
        <v>0</v>
      </c>
    </row>
    <row r="304" spans="1:6" x14ac:dyDescent="0.2">
      <c r="A304">
        <v>8</v>
      </c>
      <c r="B304">
        <v>10</v>
      </c>
      <c r="C304">
        <v>22</v>
      </c>
      <c r="D304">
        <v>62</v>
      </c>
      <c r="E304">
        <v>0</v>
      </c>
      <c r="F304">
        <f t="shared" si="5"/>
        <v>0</v>
      </c>
    </row>
    <row r="305" spans="1:6" x14ac:dyDescent="0.2">
      <c r="A305">
        <v>8</v>
      </c>
      <c r="B305">
        <v>10</v>
      </c>
      <c r="C305">
        <v>23</v>
      </c>
      <c r="D305">
        <v>63</v>
      </c>
      <c r="E305">
        <v>1</v>
      </c>
      <c r="F305">
        <f t="shared" si="5"/>
        <v>0.81</v>
      </c>
    </row>
    <row r="306" spans="1:6" x14ac:dyDescent="0.2">
      <c r="A306">
        <v>8</v>
      </c>
      <c r="B306">
        <v>10</v>
      </c>
      <c r="C306">
        <v>24</v>
      </c>
      <c r="D306">
        <v>64</v>
      </c>
      <c r="E306">
        <v>0</v>
      </c>
      <c r="F306">
        <f t="shared" si="5"/>
        <v>0</v>
      </c>
    </row>
    <row r="307" spans="1:6" x14ac:dyDescent="0.2">
      <c r="A307">
        <v>8</v>
      </c>
      <c r="B307">
        <v>10</v>
      </c>
      <c r="C307">
        <v>25</v>
      </c>
      <c r="D307">
        <v>65</v>
      </c>
      <c r="E307">
        <v>0</v>
      </c>
      <c r="F307">
        <f t="shared" si="5"/>
        <v>0</v>
      </c>
    </row>
    <row r="308" spans="1:6" x14ac:dyDescent="0.2">
      <c r="A308">
        <v>8</v>
      </c>
      <c r="B308">
        <v>10</v>
      </c>
      <c r="C308">
        <v>26</v>
      </c>
      <c r="D308">
        <v>66</v>
      </c>
      <c r="E308">
        <v>0</v>
      </c>
      <c r="F308">
        <f t="shared" si="5"/>
        <v>0</v>
      </c>
    </row>
    <row r="309" spans="1:6" x14ac:dyDescent="0.2">
      <c r="A309">
        <v>8</v>
      </c>
      <c r="B309">
        <v>10</v>
      </c>
      <c r="C309">
        <v>27</v>
      </c>
      <c r="D309">
        <v>67</v>
      </c>
      <c r="E309">
        <v>0</v>
      </c>
      <c r="F309">
        <f t="shared" si="5"/>
        <v>0</v>
      </c>
    </row>
    <row r="310" spans="1:6" x14ac:dyDescent="0.2">
      <c r="A310">
        <v>8</v>
      </c>
      <c r="B310">
        <v>10</v>
      </c>
      <c r="C310">
        <v>28</v>
      </c>
      <c r="D310">
        <v>68</v>
      </c>
      <c r="E310">
        <v>0</v>
      </c>
      <c r="F310">
        <f t="shared" si="5"/>
        <v>0</v>
      </c>
    </row>
    <row r="311" spans="1:6" x14ac:dyDescent="0.2">
      <c r="A311">
        <v>8</v>
      </c>
      <c r="B311">
        <v>10</v>
      </c>
      <c r="C311">
        <v>29</v>
      </c>
      <c r="D311">
        <v>69</v>
      </c>
      <c r="E311">
        <v>0</v>
      </c>
      <c r="F311">
        <f t="shared" si="5"/>
        <v>0</v>
      </c>
    </row>
    <row r="312" spans="1:6" x14ac:dyDescent="0.2">
      <c r="A312">
        <v>8</v>
      </c>
      <c r="B312">
        <v>10</v>
      </c>
      <c r="C312">
        <v>30</v>
      </c>
      <c r="D312">
        <v>70</v>
      </c>
      <c r="E312">
        <v>3</v>
      </c>
      <c r="F312">
        <f t="shared" si="5"/>
        <v>2.4300000000000002</v>
      </c>
    </row>
    <row r="313" spans="1:6" x14ac:dyDescent="0.2">
      <c r="A313">
        <v>8</v>
      </c>
      <c r="B313">
        <v>10</v>
      </c>
      <c r="C313">
        <v>31</v>
      </c>
      <c r="D313">
        <v>71</v>
      </c>
      <c r="E313">
        <v>0</v>
      </c>
      <c r="F313">
        <f t="shared" si="5"/>
        <v>0</v>
      </c>
    </row>
    <row r="314" spans="1:6" x14ac:dyDescent="0.2">
      <c r="A314">
        <v>8</v>
      </c>
      <c r="B314">
        <v>10</v>
      </c>
      <c r="C314">
        <v>32</v>
      </c>
      <c r="D314">
        <v>72</v>
      </c>
      <c r="E314">
        <v>0</v>
      </c>
      <c r="F314">
        <f t="shared" si="5"/>
        <v>0</v>
      </c>
    </row>
    <row r="315" spans="1:6" x14ac:dyDescent="0.2">
      <c r="A315">
        <v>8</v>
      </c>
      <c r="B315">
        <v>10</v>
      </c>
      <c r="C315">
        <v>33</v>
      </c>
      <c r="D315">
        <v>73</v>
      </c>
      <c r="E315">
        <v>0</v>
      </c>
      <c r="F315">
        <f t="shared" si="5"/>
        <v>0</v>
      </c>
    </row>
    <row r="316" spans="1:6" x14ac:dyDescent="0.2">
      <c r="A316">
        <v>8</v>
      </c>
      <c r="B316">
        <v>10</v>
      </c>
      <c r="C316">
        <v>34</v>
      </c>
      <c r="D316">
        <v>74</v>
      </c>
      <c r="E316">
        <v>0</v>
      </c>
      <c r="F316">
        <f t="shared" si="5"/>
        <v>0</v>
      </c>
    </row>
    <row r="317" spans="1:6" x14ac:dyDescent="0.2">
      <c r="A317">
        <v>8</v>
      </c>
      <c r="B317">
        <v>10</v>
      </c>
      <c r="C317">
        <v>35</v>
      </c>
      <c r="D317">
        <v>75</v>
      </c>
      <c r="E317">
        <v>0</v>
      </c>
      <c r="F317">
        <f t="shared" si="5"/>
        <v>0</v>
      </c>
    </row>
    <row r="318" spans="1:6" x14ac:dyDescent="0.2">
      <c r="A318">
        <v>8</v>
      </c>
      <c r="B318">
        <v>10</v>
      </c>
      <c r="C318">
        <v>36</v>
      </c>
      <c r="D318">
        <v>76</v>
      </c>
      <c r="E318">
        <v>0</v>
      </c>
      <c r="F318">
        <f t="shared" si="5"/>
        <v>0</v>
      </c>
    </row>
    <row r="319" spans="1:6" x14ac:dyDescent="0.2">
      <c r="A319">
        <v>8</v>
      </c>
      <c r="B319">
        <v>10</v>
      </c>
      <c r="C319">
        <v>37</v>
      </c>
      <c r="D319">
        <v>77</v>
      </c>
      <c r="E319">
        <v>0</v>
      </c>
      <c r="F319">
        <f t="shared" si="5"/>
        <v>0</v>
      </c>
    </row>
    <row r="320" spans="1:6" x14ac:dyDescent="0.2">
      <c r="A320">
        <v>8</v>
      </c>
      <c r="B320">
        <v>10</v>
      </c>
      <c r="C320">
        <v>38</v>
      </c>
      <c r="D320">
        <v>78</v>
      </c>
      <c r="E320">
        <v>0</v>
      </c>
      <c r="F320">
        <f t="shared" si="5"/>
        <v>0</v>
      </c>
    </row>
    <row r="321" spans="1:6" x14ac:dyDescent="0.2">
      <c r="A321">
        <v>8</v>
      </c>
      <c r="B321">
        <v>10</v>
      </c>
      <c r="C321">
        <v>39</v>
      </c>
      <c r="D321">
        <v>79</v>
      </c>
      <c r="E321">
        <v>0</v>
      </c>
      <c r="F321">
        <f t="shared" si="5"/>
        <v>0</v>
      </c>
    </row>
    <row r="322" spans="1:6" x14ac:dyDescent="0.2">
      <c r="A322">
        <v>9</v>
      </c>
      <c r="B322">
        <v>10</v>
      </c>
      <c r="C322">
        <v>0</v>
      </c>
      <c r="D322">
        <v>40</v>
      </c>
      <c r="E322">
        <v>0</v>
      </c>
      <c r="F322">
        <f t="shared" si="5"/>
        <v>0</v>
      </c>
    </row>
    <row r="323" spans="1:6" x14ac:dyDescent="0.2">
      <c r="A323">
        <v>9</v>
      </c>
      <c r="B323">
        <v>10</v>
      </c>
      <c r="C323">
        <v>1</v>
      </c>
      <c r="D323">
        <v>41</v>
      </c>
      <c r="E323">
        <v>0</v>
      </c>
      <c r="F323">
        <f t="shared" si="5"/>
        <v>0</v>
      </c>
    </row>
    <row r="324" spans="1:6" x14ac:dyDescent="0.2">
      <c r="A324">
        <v>9</v>
      </c>
      <c r="B324">
        <v>10</v>
      </c>
      <c r="C324">
        <v>2</v>
      </c>
      <c r="D324">
        <v>42</v>
      </c>
      <c r="E324">
        <v>0</v>
      </c>
      <c r="F324">
        <f t="shared" si="5"/>
        <v>0</v>
      </c>
    </row>
    <row r="325" spans="1:6" x14ac:dyDescent="0.2">
      <c r="A325">
        <v>9</v>
      </c>
      <c r="B325">
        <v>10</v>
      </c>
      <c r="C325">
        <v>3</v>
      </c>
      <c r="D325">
        <v>43</v>
      </c>
      <c r="E325">
        <v>0</v>
      </c>
      <c r="F325">
        <f t="shared" si="5"/>
        <v>0</v>
      </c>
    </row>
    <row r="326" spans="1:6" x14ac:dyDescent="0.2">
      <c r="A326">
        <v>9</v>
      </c>
      <c r="B326">
        <v>10</v>
      </c>
      <c r="C326">
        <v>4</v>
      </c>
      <c r="D326">
        <v>44</v>
      </c>
      <c r="E326">
        <v>0</v>
      </c>
      <c r="F326">
        <f t="shared" si="5"/>
        <v>0</v>
      </c>
    </row>
    <row r="327" spans="1:6" x14ac:dyDescent="0.2">
      <c r="A327">
        <v>9</v>
      </c>
      <c r="B327">
        <v>10</v>
      </c>
      <c r="C327">
        <v>5</v>
      </c>
      <c r="D327">
        <v>45</v>
      </c>
      <c r="E327">
        <v>2</v>
      </c>
      <c r="F327">
        <f t="shared" si="5"/>
        <v>1.62</v>
      </c>
    </row>
    <row r="328" spans="1:6" x14ac:dyDescent="0.2">
      <c r="A328">
        <v>9</v>
      </c>
      <c r="B328">
        <v>10</v>
      </c>
      <c r="C328">
        <v>6</v>
      </c>
      <c r="D328">
        <v>46</v>
      </c>
      <c r="E328">
        <v>0</v>
      </c>
      <c r="F328">
        <f t="shared" si="5"/>
        <v>0</v>
      </c>
    </row>
    <row r="329" spans="1:6" x14ac:dyDescent="0.2">
      <c r="A329">
        <v>9</v>
      </c>
      <c r="B329">
        <v>10</v>
      </c>
      <c r="C329">
        <v>7</v>
      </c>
      <c r="D329">
        <v>47</v>
      </c>
      <c r="E329">
        <v>0</v>
      </c>
      <c r="F329">
        <f t="shared" si="5"/>
        <v>0</v>
      </c>
    </row>
    <row r="330" spans="1:6" x14ac:dyDescent="0.2">
      <c r="A330">
        <v>9</v>
      </c>
      <c r="B330">
        <v>10</v>
      </c>
      <c r="C330">
        <v>8</v>
      </c>
      <c r="D330">
        <v>48</v>
      </c>
      <c r="E330">
        <v>0</v>
      </c>
      <c r="F330">
        <f t="shared" si="5"/>
        <v>0</v>
      </c>
    </row>
    <row r="331" spans="1:6" x14ac:dyDescent="0.2">
      <c r="A331">
        <v>9</v>
      </c>
      <c r="B331">
        <v>10</v>
      </c>
      <c r="C331">
        <v>9</v>
      </c>
      <c r="D331">
        <v>49</v>
      </c>
      <c r="E331">
        <v>0</v>
      </c>
      <c r="F331">
        <f t="shared" si="5"/>
        <v>0</v>
      </c>
    </row>
    <row r="332" spans="1:6" x14ac:dyDescent="0.2">
      <c r="A332">
        <v>9</v>
      </c>
      <c r="B332">
        <v>10</v>
      </c>
      <c r="C332">
        <v>10</v>
      </c>
      <c r="D332">
        <v>50</v>
      </c>
      <c r="E332">
        <v>0</v>
      </c>
      <c r="F332">
        <f t="shared" si="5"/>
        <v>0</v>
      </c>
    </row>
    <row r="333" spans="1:6" x14ac:dyDescent="0.2">
      <c r="A333">
        <v>9</v>
      </c>
      <c r="B333">
        <v>10</v>
      </c>
      <c r="C333">
        <v>11</v>
      </c>
      <c r="D333">
        <v>51</v>
      </c>
      <c r="E333">
        <v>2</v>
      </c>
      <c r="F333">
        <f t="shared" si="5"/>
        <v>1.62</v>
      </c>
    </row>
    <row r="334" spans="1:6" x14ac:dyDescent="0.2">
      <c r="A334">
        <v>9</v>
      </c>
      <c r="B334">
        <v>10</v>
      </c>
      <c r="C334">
        <v>12</v>
      </c>
      <c r="D334">
        <v>52</v>
      </c>
      <c r="E334">
        <v>0</v>
      </c>
      <c r="F334">
        <f t="shared" si="5"/>
        <v>0</v>
      </c>
    </row>
    <row r="335" spans="1:6" x14ac:dyDescent="0.2">
      <c r="A335">
        <v>9</v>
      </c>
      <c r="B335">
        <v>10</v>
      </c>
      <c r="C335">
        <v>13</v>
      </c>
      <c r="D335">
        <v>53</v>
      </c>
      <c r="E335">
        <v>0</v>
      </c>
      <c r="F335">
        <f t="shared" si="5"/>
        <v>0</v>
      </c>
    </row>
    <row r="336" spans="1:6" x14ac:dyDescent="0.2">
      <c r="A336">
        <v>9</v>
      </c>
      <c r="B336">
        <v>10</v>
      </c>
      <c r="C336">
        <v>14</v>
      </c>
      <c r="D336">
        <v>54</v>
      </c>
      <c r="E336">
        <v>0</v>
      </c>
      <c r="F336">
        <f t="shared" si="5"/>
        <v>0</v>
      </c>
    </row>
    <row r="337" spans="1:6" x14ac:dyDescent="0.2">
      <c r="A337">
        <v>9</v>
      </c>
      <c r="B337">
        <v>10</v>
      </c>
      <c r="C337">
        <v>15</v>
      </c>
      <c r="D337">
        <v>55</v>
      </c>
      <c r="E337">
        <v>0</v>
      </c>
      <c r="F337">
        <f t="shared" si="5"/>
        <v>0</v>
      </c>
    </row>
    <row r="338" spans="1:6" x14ac:dyDescent="0.2">
      <c r="A338">
        <v>9</v>
      </c>
      <c r="B338">
        <v>10</v>
      </c>
      <c r="C338">
        <v>16</v>
      </c>
      <c r="D338">
        <v>56</v>
      </c>
      <c r="E338">
        <v>0</v>
      </c>
      <c r="F338">
        <f t="shared" ref="F338:F361" si="6">(E338*0.81)</f>
        <v>0</v>
      </c>
    </row>
    <row r="339" spans="1:6" x14ac:dyDescent="0.2">
      <c r="A339">
        <v>9</v>
      </c>
      <c r="B339">
        <v>10</v>
      </c>
      <c r="C339">
        <v>17</v>
      </c>
      <c r="D339">
        <v>57</v>
      </c>
      <c r="E339">
        <v>0</v>
      </c>
      <c r="F339">
        <f t="shared" si="6"/>
        <v>0</v>
      </c>
    </row>
    <row r="340" spans="1:6" x14ac:dyDescent="0.2">
      <c r="A340">
        <v>9</v>
      </c>
      <c r="B340">
        <v>10</v>
      </c>
      <c r="C340">
        <v>18</v>
      </c>
      <c r="D340">
        <v>58</v>
      </c>
      <c r="E340">
        <v>0</v>
      </c>
      <c r="F340">
        <f t="shared" si="6"/>
        <v>0</v>
      </c>
    </row>
    <row r="341" spans="1:6" x14ac:dyDescent="0.2">
      <c r="A341">
        <v>9</v>
      </c>
      <c r="B341">
        <v>10</v>
      </c>
      <c r="C341">
        <v>19</v>
      </c>
      <c r="D341">
        <v>59</v>
      </c>
      <c r="E341">
        <v>0</v>
      </c>
      <c r="F341">
        <f t="shared" si="6"/>
        <v>0</v>
      </c>
    </row>
    <row r="342" spans="1:6" x14ac:dyDescent="0.2">
      <c r="A342">
        <v>9</v>
      </c>
      <c r="B342">
        <v>10</v>
      </c>
      <c r="C342">
        <v>20</v>
      </c>
      <c r="D342">
        <v>60</v>
      </c>
      <c r="E342">
        <v>0</v>
      </c>
      <c r="F342">
        <f t="shared" si="6"/>
        <v>0</v>
      </c>
    </row>
    <row r="343" spans="1:6" x14ac:dyDescent="0.2">
      <c r="A343">
        <v>9</v>
      </c>
      <c r="B343">
        <v>10</v>
      </c>
      <c r="C343">
        <v>21</v>
      </c>
      <c r="D343">
        <v>61</v>
      </c>
      <c r="E343">
        <v>0</v>
      </c>
      <c r="F343">
        <f t="shared" si="6"/>
        <v>0</v>
      </c>
    </row>
    <row r="344" spans="1:6" x14ac:dyDescent="0.2">
      <c r="A344">
        <v>9</v>
      </c>
      <c r="B344">
        <v>10</v>
      </c>
      <c r="C344">
        <v>22</v>
      </c>
      <c r="D344">
        <v>62</v>
      </c>
      <c r="E344">
        <v>0</v>
      </c>
      <c r="F344">
        <f t="shared" si="6"/>
        <v>0</v>
      </c>
    </row>
    <row r="345" spans="1:6" x14ac:dyDescent="0.2">
      <c r="A345">
        <v>9</v>
      </c>
      <c r="B345">
        <v>10</v>
      </c>
      <c r="C345">
        <v>23</v>
      </c>
      <c r="D345">
        <v>63</v>
      </c>
      <c r="E345">
        <v>1</v>
      </c>
      <c r="F345">
        <f t="shared" si="6"/>
        <v>0.81</v>
      </c>
    </row>
    <row r="346" spans="1:6" x14ac:dyDescent="0.2">
      <c r="A346">
        <v>9</v>
      </c>
      <c r="B346">
        <v>10</v>
      </c>
      <c r="C346">
        <v>24</v>
      </c>
      <c r="D346">
        <v>64</v>
      </c>
      <c r="E346">
        <v>0</v>
      </c>
      <c r="F346">
        <f t="shared" si="6"/>
        <v>0</v>
      </c>
    </row>
    <row r="347" spans="1:6" x14ac:dyDescent="0.2">
      <c r="A347">
        <v>9</v>
      </c>
      <c r="B347">
        <v>10</v>
      </c>
      <c r="C347">
        <v>25</v>
      </c>
      <c r="D347">
        <v>65</v>
      </c>
      <c r="E347">
        <v>0</v>
      </c>
      <c r="F347">
        <f t="shared" si="6"/>
        <v>0</v>
      </c>
    </row>
    <row r="348" spans="1:6" x14ac:dyDescent="0.2">
      <c r="A348">
        <v>9</v>
      </c>
      <c r="B348">
        <v>10</v>
      </c>
      <c r="C348">
        <v>26</v>
      </c>
      <c r="D348">
        <v>66</v>
      </c>
      <c r="E348">
        <v>0</v>
      </c>
      <c r="F348">
        <f t="shared" si="6"/>
        <v>0</v>
      </c>
    </row>
    <row r="349" spans="1:6" x14ac:dyDescent="0.2">
      <c r="A349">
        <v>9</v>
      </c>
      <c r="B349">
        <v>10</v>
      </c>
      <c r="C349">
        <v>27</v>
      </c>
      <c r="D349">
        <v>67</v>
      </c>
      <c r="E349">
        <v>0</v>
      </c>
      <c r="F349">
        <f t="shared" si="6"/>
        <v>0</v>
      </c>
    </row>
    <row r="350" spans="1:6" x14ac:dyDescent="0.2">
      <c r="A350">
        <v>9</v>
      </c>
      <c r="B350">
        <v>10</v>
      </c>
      <c r="C350">
        <v>28</v>
      </c>
      <c r="D350">
        <v>68</v>
      </c>
      <c r="E350">
        <v>0</v>
      </c>
      <c r="F350">
        <f t="shared" si="6"/>
        <v>0</v>
      </c>
    </row>
    <row r="351" spans="1:6" x14ac:dyDescent="0.2">
      <c r="A351">
        <v>9</v>
      </c>
      <c r="B351">
        <v>10</v>
      </c>
      <c r="C351">
        <v>29</v>
      </c>
      <c r="D351">
        <v>69</v>
      </c>
      <c r="E351">
        <v>0</v>
      </c>
      <c r="F351">
        <f t="shared" si="6"/>
        <v>0</v>
      </c>
    </row>
    <row r="352" spans="1:6" x14ac:dyDescent="0.2">
      <c r="A352">
        <v>9</v>
      </c>
      <c r="B352">
        <v>10</v>
      </c>
      <c r="C352">
        <v>30</v>
      </c>
      <c r="D352">
        <v>70</v>
      </c>
      <c r="E352">
        <v>0</v>
      </c>
      <c r="F352">
        <f t="shared" si="6"/>
        <v>0</v>
      </c>
    </row>
    <row r="353" spans="1:6" x14ac:dyDescent="0.2">
      <c r="A353">
        <v>9</v>
      </c>
      <c r="B353">
        <v>10</v>
      </c>
      <c r="C353">
        <v>31</v>
      </c>
      <c r="D353">
        <v>71</v>
      </c>
      <c r="E353">
        <v>0</v>
      </c>
      <c r="F353">
        <f t="shared" si="6"/>
        <v>0</v>
      </c>
    </row>
    <row r="354" spans="1:6" x14ac:dyDescent="0.2">
      <c r="A354">
        <v>9</v>
      </c>
      <c r="B354">
        <v>10</v>
      </c>
      <c r="C354">
        <v>32</v>
      </c>
      <c r="D354">
        <v>72</v>
      </c>
      <c r="E354">
        <v>0</v>
      </c>
      <c r="F354">
        <f t="shared" si="6"/>
        <v>0</v>
      </c>
    </row>
    <row r="355" spans="1:6" x14ac:dyDescent="0.2">
      <c r="A355">
        <v>9</v>
      </c>
      <c r="B355">
        <v>10</v>
      </c>
      <c r="C355">
        <v>33</v>
      </c>
      <c r="D355">
        <v>73</v>
      </c>
      <c r="E355">
        <v>0</v>
      </c>
      <c r="F355">
        <f t="shared" si="6"/>
        <v>0</v>
      </c>
    </row>
    <row r="356" spans="1:6" x14ac:dyDescent="0.2">
      <c r="A356">
        <v>9</v>
      </c>
      <c r="B356">
        <v>10</v>
      </c>
      <c r="C356">
        <v>34</v>
      </c>
      <c r="D356">
        <v>74</v>
      </c>
      <c r="E356">
        <v>0</v>
      </c>
      <c r="F356">
        <f t="shared" si="6"/>
        <v>0</v>
      </c>
    </row>
    <row r="357" spans="1:6" x14ac:dyDescent="0.2">
      <c r="A357">
        <v>9</v>
      </c>
      <c r="B357">
        <v>10</v>
      </c>
      <c r="C357">
        <v>35</v>
      </c>
      <c r="D357">
        <v>75</v>
      </c>
      <c r="E357">
        <v>0</v>
      </c>
      <c r="F357">
        <f t="shared" si="6"/>
        <v>0</v>
      </c>
    </row>
    <row r="358" spans="1:6" x14ac:dyDescent="0.2">
      <c r="A358">
        <v>9</v>
      </c>
      <c r="B358">
        <v>10</v>
      </c>
      <c r="C358">
        <v>36</v>
      </c>
      <c r="D358">
        <v>76</v>
      </c>
      <c r="E358">
        <v>0</v>
      </c>
      <c r="F358">
        <f t="shared" si="6"/>
        <v>0</v>
      </c>
    </row>
    <row r="359" spans="1:6" x14ac:dyDescent="0.2">
      <c r="A359">
        <v>9</v>
      </c>
      <c r="B359">
        <v>10</v>
      </c>
      <c r="C359">
        <v>37</v>
      </c>
      <c r="D359">
        <v>77</v>
      </c>
      <c r="E359">
        <v>0</v>
      </c>
      <c r="F359">
        <f t="shared" si="6"/>
        <v>0</v>
      </c>
    </row>
    <row r="360" spans="1:6" x14ac:dyDescent="0.2">
      <c r="A360">
        <v>9</v>
      </c>
      <c r="B360">
        <v>10</v>
      </c>
      <c r="C360">
        <v>38</v>
      </c>
      <c r="D360">
        <v>78</v>
      </c>
      <c r="E360">
        <v>0</v>
      </c>
      <c r="F360">
        <f t="shared" si="6"/>
        <v>0</v>
      </c>
    </row>
    <row r="361" spans="1:6" x14ac:dyDescent="0.2">
      <c r="A361">
        <v>9</v>
      </c>
      <c r="B361">
        <v>10</v>
      </c>
      <c r="C361">
        <v>39</v>
      </c>
      <c r="D361">
        <v>79</v>
      </c>
      <c r="E361">
        <v>0</v>
      </c>
      <c r="F361">
        <f t="shared" si="6"/>
        <v>0</v>
      </c>
    </row>
    <row r="362" spans="1:6" x14ac:dyDescent="0.2">
      <c r="A362">
        <v>10</v>
      </c>
      <c r="B362">
        <v>10</v>
      </c>
      <c r="C362">
        <v>0</v>
      </c>
      <c r="D362">
        <v>40</v>
      </c>
      <c r="E362">
        <v>0</v>
      </c>
      <c r="F362">
        <f t="shared" ref="F362:F403" si="7">(E362*0.81)</f>
        <v>0</v>
      </c>
    </row>
    <row r="363" spans="1:6" x14ac:dyDescent="0.2">
      <c r="A363">
        <v>10</v>
      </c>
      <c r="B363">
        <v>10</v>
      </c>
      <c r="C363">
        <v>1</v>
      </c>
      <c r="D363">
        <v>41</v>
      </c>
      <c r="E363">
        <v>0</v>
      </c>
      <c r="F363">
        <f t="shared" si="7"/>
        <v>0</v>
      </c>
    </row>
    <row r="364" spans="1:6" x14ac:dyDescent="0.2">
      <c r="A364">
        <v>10</v>
      </c>
      <c r="B364">
        <v>10</v>
      </c>
      <c r="C364">
        <v>2</v>
      </c>
      <c r="D364">
        <v>42</v>
      </c>
      <c r="E364">
        <v>0</v>
      </c>
      <c r="F364">
        <f t="shared" si="7"/>
        <v>0</v>
      </c>
    </row>
    <row r="365" spans="1:6" x14ac:dyDescent="0.2">
      <c r="A365">
        <v>10</v>
      </c>
      <c r="B365">
        <v>10</v>
      </c>
      <c r="C365">
        <v>3</v>
      </c>
      <c r="D365">
        <v>43</v>
      </c>
      <c r="E365">
        <v>0</v>
      </c>
      <c r="F365">
        <f t="shared" si="7"/>
        <v>0</v>
      </c>
    </row>
    <row r="366" spans="1:6" x14ac:dyDescent="0.2">
      <c r="A366">
        <v>10</v>
      </c>
      <c r="B366">
        <v>10</v>
      </c>
      <c r="C366">
        <v>4</v>
      </c>
      <c r="D366">
        <v>44</v>
      </c>
      <c r="E366">
        <v>0</v>
      </c>
      <c r="F366">
        <f t="shared" si="7"/>
        <v>0</v>
      </c>
    </row>
    <row r="367" spans="1:6" x14ac:dyDescent="0.2">
      <c r="A367">
        <v>10</v>
      </c>
      <c r="B367">
        <v>10</v>
      </c>
      <c r="C367">
        <v>5</v>
      </c>
      <c r="D367">
        <v>45</v>
      </c>
      <c r="E367">
        <v>3</v>
      </c>
      <c r="F367">
        <f t="shared" si="7"/>
        <v>2.4300000000000002</v>
      </c>
    </row>
    <row r="368" spans="1:6" x14ac:dyDescent="0.2">
      <c r="A368">
        <v>10</v>
      </c>
      <c r="B368">
        <v>10</v>
      </c>
      <c r="C368">
        <v>6</v>
      </c>
      <c r="D368">
        <v>46</v>
      </c>
      <c r="E368">
        <v>0</v>
      </c>
      <c r="F368">
        <f t="shared" si="7"/>
        <v>0</v>
      </c>
    </row>
    <row r="369" spans="1:6" x14ac:dyDescent="0.2">
      <c r="A369">
        <v>10</v>
      </c>
      <c r="B369">
        <v>10</v>
      </c>
      <c r="C369">
        <v>7</v>
      </c>
      <c r="D369">
        <v>47</v>
      </c>
      <c r="E369">
        <v>0</v>
      </c>
      <c r="F369">
        <f t="shared" si="7"/>
        <v>0</v>
      </c>
    </row>
    <row r="370" spans="1:6" x14ac:dyDescent="0.2">
      <c r="A370">
        <v>10</v>
      </c>
      <c r="B370">
        <v>10</v>
      </c>
      <c r="C370">
        <v>8</v>
      </c>
      <c r="D370">
        <v>48</v>
      </c>
      <c r="E370">
        <v>1</v>
      </c>
      <c r="F370">
        <f t="shared" si="7"/>
        <v>0.81</v>
      </c>
    </row>
    <row r="371" spans="1:6" x14ac:dyDescent="0.2">
      <c r="A371">
        <v>10</v>
      </c>
      <c r="B371">
        <v>10</v>
      </c>
      <c r="C371">
        <v>9</v>
      </c>
      <c r="D371">
        <v>49</v>
      </c>
      <c r="E371">
        <v>0</v>
      </c>
      <c r="F371">
        <f t="shared" si="7"/>
        <v>0</v>
      </c>
    </row>
    <row r="372" spans="1:6" x14ac:dyDescent="0.2">
      <c r="A372">
        <v>10</v>
      </c>
      <c r="B372">
        <v>10</v>
      </c>
      <c r="C372">
        <v>10</v>
      </c>
      <c r="D372">
        <v>50</v>
      </c>
      <c r="E372">
        <v>0</v>
      </c>
      <c r="F372">
        <f t="shared" si="7"/>
        <v>0</v>
      </c>
    </row>
    <row r="373" spans="1:6" x14ac:dyDescent="0.2">
      <c r="A373">
        <v>10</v>
      </c>
      <c r="B373">
        <v>10</v>
      </c>
      <c r="C373">
        <v>11</v>
      </c>
      <c r="D373">
        <v>51</v>
      </c>
      <c r="E373">
        <v>0</v>
      </c>
      <c r="F373">
        <f t="shared" si="7"/>
        <v>0</v>
      </c>
    </row>
    <row r="374" spans="1:6" x14ac:dyDescent="0.2">
      <c r="A374">
        <v>10</v>
      </c>
      <c r="B374">
        <v>10</v>
      </c>
      <c r="C374">
        <v>12</v>
      </c>
      <c r="D374">
        <v>52</v>
      </c>
      <c r="E374">
        <v>0</v>
      </c>
      <c r="F374">
        <f t="shared" si="7"/>
        <v>0</v>
      </c>
    </row>
    <row r="375" spans="1:6" x14ac:dyDescent="0.2">
      <c r="A375">
        <v>10</v>
      </c>
      <c r="B375">
        <v>10</v>
      </c>
      <c r="C375">
        <v>13</v>
      </c>
      <c r="D375">
        <v>53</v>
      </c>
      <c r="E375">
        <v>0</v>
      </c>
      <c r="F375">
        <f t="shared" si="7"/>
        <v>0</v>
      </c>
    </row>
    <row r="376" spans="1:6" x14ac:dyDescent="0.2">
      <c r="A376">
        <v>10</v>
      </c>
      <c r="B376">
        <v>10</v>
      </c>
      <c r="C376">
        <v>14</v>
      </c>
      <c r="D376">
        <v>54</v>
      </c>
      <c r="E376">
        <v>0</v>
      </c>
      <c r="F376">
        <f t="shared" si="7"/>
        <v>0</v>
      </c>
    </row>
    <row r="377" spans="1:6" x14ac:dyDescent="0.2">
      <c r="A377">
        <v>10</v>
      </c>
      <c r="B377">
        <v>10</v>
      </c>
      <c r="C377">
        <v>15</v>
      </c>
      <c r="D377">
        <v>55</v>
      </c>
      <c r="E377">
        <v>0</v>
      </c>
      <c r="F377">
        <f t="shared" si="7"/>
        <v>0</v>
      </c>
    </row>
    <row r="378" spans="1:6" x14ac:dyDescent="0.2">
      <c r="A378">
        <v>10</v>
      </c>
      <c r="B378">
        <v>10</v>
      </c>
      <c r="C378">
        <v>16</v>
      </c>
      <c r="D378">
        <v>56</v>
      </c>
      <c r="E378">
        <v>0</v>
      </c>
      <c r="F378">
        <f t="shared" si="7"/>
        <v>0</v>
      </c>
    </row>
    <row r="379" spans="1:6" x14ac:dyDescent="0.2">
      <c r="A379">
        <v>10</v>
      </c>
      <c r="B379">
        <v>10</v>
      </c>
      <c r="C379">
        <v>17</v>
      </c>
      <c r="D379">
        <v>57</v>
      </c>
      <c r="E379">
        <v>0</v>
      </c>
      <c r="F379">
        <f t="shared" si="7"/>
        <v>0</v>
      </c>
    </row>
    <row r="380" spans="1:6" x14ac:dyDescent="0.2">
      <c r="A380">
        <v>10</v>
      </c>
      <c r="B380">
        <v>10</v>
      </c>
      <c r="C380">
        <v>18</v>
      </c>
      <c r="D380">
        <v>58</v>
      </c>
      <c r="E380">
        <v>0</v>
      </c>
      <c r="F380">
        <f t="shared" si="7"/>
        <v>0</v>
      </c>
    </row>
    <row r="381" spans="1:6" x14ac:dyDescent="0.2">
      <c r="A381">
        <v>10</v>
      </c>
      <c r="B381">
        <v>10</v>
      </c>
      <c r="C381">
        <v>19</v>
      </c>
      <c r="D381">
        <v>59</v>
      </c>
      <c r="E381">
        <v>0</v>
      </c>
      <c r="F381">
        <f t="shared" si="7"/>
        <v>0</v>
      </c>
    </row>
    <row r="382" spans="1:6" x14ac:dyDescent="0.2">
      <c r="A382">
        <v>10</v>
      </c>
      <c r="B382">
        <v>10</v>
      </c>
      <c r="C382">
        <v>20</v>
      </c>
      <c r="D382">
        <v>60</v>
      </c>
      <c r="E382">
        <v>0</v>
      </c>
      <c r="F382">
        <f t="shared" si="7"/>
        <v>0</v>
      </c>
    </row>
    <row r="383" spans="1:6" x14ac:dyDescent="0.2">
      <c r="A383">
        <v>10</v>
      </c>
      <c r="B383">
        <v>10</v>
      </c>
      <c r="C383">
        <v>21</v>
      </c>
      <c r="D383">
        <v>61</v>
      </c>
      <c r="E383">
        <v>0</v>
      </c>
      <c r="F383">
        <f t="shared" si="7"/>
        <v>0</v>
      </c>
    </row>
    <row r="384" spans="1:6" x14ac:dyDescent="0.2">
      <c r="A384">
        <v>10</v>
      </c>
      <c r="B384">
        <v>10</v>
      </c>
      <c r="C384">
        <v>22</v>
      </c>
      <c r="D384">
        <v>62</v>
      </c>
      <c r="E384">
        <v>0</v>
      </c>
      <c r="F384">
        <f t="shared" si="7"/>
        <v>0</v>
      </c>
    </row>
    <row r="385" spans="1:6" x14ac:dyDescent="0.2">
      <c r="A385">
        <v>10</v>
      </c>
      <c r="B385">
        <v>10</v>
      </c>
      <c r="C385">
        <v>23</v>
      </c>
      <c r="D385">
        <v>63</v>
      </c>
      <c r="E385">
        <v>0</v>
      </c>
      <c r="F385">
        <f t="shared" si="7"/>
        <v>0</v>
      </c>
    </row>
    <row r="386" spans="1:6" x14ac:dyDescent="0.2">
      <c r="A386">
        <v>10</v>
      </c>
      <c r="B386">
        <v>10</v>
      </c>
      <c r="C386">
        <v>24</v>
      </c>
      <c r="D386">
        <v>64</v>
      </c>
      <c r="E386">
        <v>0</v>
      </c>
      <c r="F386">
        <f t="shared" si="7"/>
        <v>0</v>
      </c>
    </row>
    <row r="387" spans="1:6" x14ac:dyDescent="0.2">
      <c r="A387">
        <v>10</v>
      </c>
      <c r="B387">
        <v>10</v>
      </c>
      <c r="C387">
        <v>25</v>
      </c>
      <c r="D387">
        <v>65</v>
      </c>
      <c r="E387">
        <v>0</v>
      </c>
      <c r="F387">
        <f t="shared" si="7"/>
        <v>0</v>
      </c>
    </row>
    <row r="388" spans="1:6" x14ac:dyDescent="0.2">
      <c r="A388">
        <v>10</v>
      </c>
      <c r="B388">
        <v>10</v>
      </c>
      <c r="C388">
        <v>26</v>
      </c>
      <c r="D388">
        <v>66</v>
      </c>
      <c r="E388">
        <v>0</v>
      </c>
      <c r="F388">
        <f t="shared" si="7"/>
        <v>0</v>
      </c>
    </row>
    <row r="389" spans="1:6" x14ac:dyDescent="0.2">
      <c r="A389">
        <v>10</v>
      </c>
      <c r="B389">
        <v>10</v>
      </c>
      <c r="C389">
        <v>27</v>
      </c>
      <c r="D389">
        <v>67</v>
      </c>
      <c r="E389">
        <v>0</v>
      </c>
      <c r="F389">
        <f t="shared" si="7"/>
        <v>0</v>
      </c>
    </row>
    <row r="390" spans="1:6" x14ac:dyDescent="0.2">
      <c r="A390">
        <v>10</v>
      </c>
      <c r="B390">
        <v>10</v>
      </c>
      <c r="C390">
        <v>28</v>
      </c>
      <c r="D390">
        <v>68</v>
      </c>
      <c r="E390">
        <v>0</v>
      </c>
      <c r="F390">
        <f t="shared" si="7"/>
        <v>0</v>
      </c>
    </row>
    <row r="391" spans="1:6" x14ac:dyDescent="0.2">
      <c r="A391">
        <v>10</v>
      </c>
      <c r="B391">
        <v>10</v>
      </c>
      <c r="C391">
        <v>29</v>
      </c>
      <c r="D391">
        <v>69</v>
      </c>
      <c r="E391">
        <v>0</v>
      </c>
      <c r="F391">
        <f t="shared" si="7"/>
        <v>0</v>
      </c>
    </row>
    <row r="392" spans="1:6" x14ac:dyDescent="0.2">
      <c r="A392">
        <v>10</v>
      </c>
      <c r="B392">
        <v>10</v>
      </c>
      <c r="C392">
        <v>30</v>
      </c>
      <c r="D392">
        <v>70</v>
      </c>
      <c r="E392">
        <v>0</v>
      </c>
      <c r="F392">
        <f t="shared" si="7"/>
        <v>0</v>
      </c>
    </row>
    <row r="393" spans="1:6" x14ac:dyDescent="0.2">
      <c r="A393">
        <v>10</v>
      </c>
      <c r="B393">
        <v>10</v>
      </c>
      <c r="C393">
        <v>31</v>
      </c>
      <c r="D393">
        <v>71</v>
      </c>
      <c r="E393">
        <v>0</v>
      </c>
      <c r="F393">
        <f t="shared" si="7"/>
        <v>0</v>
      </c>
    </row>
    <row r="394" spans="1:6" x14ac:dyDescent="0.2">
      <c r="A394">
        <v>10</v>
      </c>
      <c r="B394">
        <v>10</v>
      </c>
      <c r="C394">
        <v>32</v>
      </c>
      <c r="D394">
        <v>72</v>
      </c>
      <c r="E394">
        <v>0</v>
      </c>
      <c r="F394">
        <f t="shared" si="7"/>
        <v>0</v>
      </c>
    </row>
    <row r="395" spans="1:6" x14ac:dyDescent="0.2">
      <c r="A395">
        <v>10</v>
      </c>
      <c r="B395">
        <v>10</v>
      </c>
      <c r="C395">
        <v>33</v>
      </c>
      <c r="D395">
        <v>73</v>
      </c>
      <c r="E395">
        <v>0</v>
      </c>
      <c r="F395">
        <f t="shared" si="7"/>
        <v>0</v>
      </c>
    </row>
    <row r="396" spans="1:6" x14ac:dyDescent="0.2">
      <c r="A396">
        <v>10</v>
      </c>
      <c r="B396">
        <v>10</v>
      </c>
      <c r="C396">
        <v>34</v>
      </c>
      <c r="D396">
        <v>74</v>
      </c>
      <c r="E396">
        <v>0</v>
      </c>
      <c r="F396">
        <f t="shared" si="7"/>
        <v>0</v>
      </c>
    </row>
    <row r="397" spans="1:6" x14ac:dyDescent="0.2">
      <c r="A397">
        <v>10</v>
      </c>
      <c r="B397">
        <v>10</v>
      </c>
      <c r="C397">
        <v>35</v>
      </c>
      <c r="D397">
        <v>75</v>
      </c>
      <c r="E397">
        <v>0</v>
      </c>
      <c r="F397">
        <f t="shared" si="7"/>
        <v>0</v>
      </c>
    </row>
    <row r="398" spans="1:6" x14ac:dyDescent="0.2">
      <c r="A398">
        <v>10</v>
      </c>
      <c r="B398">
        <v>10</v>
      </c>
      <c r="C398">
        <v>36</v>
      </c>
      <c r="D398">
        <v>76</v>
      </c>
      <c r="E398">
        <v>0</v>
      </c>
      <c r="F398">
        <f t="shared" si="7"/>
        <v>0</v>
      </c>
    </row>
    <row r="399" spans="1:6" x14ac:dyDescent="0.2">
      <c r="A399">
        <v>10</v>
      </c>
      <c r="B399">
        <v>10</v>
      </c>
      <c r="C399">
        <v>37</v>
      </c>
      <c r="D399">
        <v>77</v>
      </c>
      <c r="E399">
        <v>0</v>
      </c>
      <c r="F399">
        <f t="shared" si="7"/>
        <v>0</v>
      </c>
    </row>
    <row r="400" spans="1:6" x14ac:dyDescent="0.2">
      <c r="A400">
        <v>10</v>
      </c>
      <c r="B400">
        <v>10</v>
      </c>
      <c r="C400">
        <v>38</v>
      </c>
      <c r="D400">
        <v>78</v>
      </c>
      <c r="E400">
        <v>0</v>
      </c>
      <c r="F400">
        <f t="shared" si="7"/>
        <v>0</v>
      </c>
    </row>
    <row r="401" spans="1:6" x14ac:dyDescent="0.2">
      <c r="A401">
        <v>10</v>
      </c>
      <c r="B401">
        <v>10</v>
      </c>
      <c r="C401">
        <v>39</v>
      </c>
      <c r="D401">
        <v>79</v>
      </c>
      <c r="E401">
        <v>0</v>
      </c>
      <c r="F401">
        <f t="shared" si="7"/>
        <v>0</v>
      </c>
    </row>
    <row r="402" spans="1:6" x14ac:dyDescent="0.2">
      <c r="A402">
        <v>11</v>
      </c>
      <c r="B402">
        <v>10</v>
      </c>
      <c r="C402">
        <v>0</v>
      </c>
      <c r="D402">
        <v>40</v>
      </c>
      <c r="E402">
        <v>0</v>
      </c>
      <c r="F402">
        <f t="shared" si="7"/>
        <v>0</v>
      </c>
    </row>
    <row r="403" spans="1:6" x14ac:dyDescent="0.2">
      <c r="A403">
        <v>11</v>
      </c>
      <c r="B403">
        <v>10</v>
      </c>
      <c r="C403">
        <v>1</v>
      </c>
      <c r="D403">
        <v>41</v>
      </c>
      <c r="E403">
        <v>0</v>
      </c>
      <c r="F403">
        <f t="shared" si="7"/>
        <v>0</v>
      </c>
    </row>
    <row r="404" spans="1:6" x14ac:dyDescent="0.2">
      <c r="D404">
        <v>1</v>
      </c>
      <c r="F404">
        <f t="shared" ref="F404:F442" si="8">(E404*0.81)</f>
        <v>0</v>
      </c>
    </row>
    <row r="405" spans="1:6" x14ac:dyDescent="0.2">
      <c r="D405">
        <v>2</v>
      </c>
      <c r="F405">
        <f t="shared" si="8"/>
        <v>0</v>
      </c>
    </row>
    <row r="406" spans="1:6" x14ac:dyDescent="0.2">
      <c r="D406">
        <v>3</v>
      </c>
      <c r="F406">
        <f t="shared" si="8"/>
        <v>0</v>
      </c>
    </row>
    <row r="407" spans="1:6" x14ac:dyDescent="0.2">
      <c r="D407">
        <v>4</v>
      </c>
      <c r="F407">
        <f t="shared" si="8"/>
        <v>0</v>
      </c>
    </row>
    <row r="408" spans="1:6" x14ac:dyDescent="0.2">
      <c r="D408">
        <v>5</v>
      </c>
      <c r="F408">
        <f t="shared" si="8"/>
        <v>0</v>
      </c>
    </row>
    <row r="409" spans="1:6" x14ac:dyDescent="0.2">
      <c r="D409">
        <v>6</v>
      </c>
      <c r="F409">
        <f t="shared" si="8"/>
        <v>0</v>
      </c>
    </row>
    <row r="410" spans="1:6" x14ac:dyDescent="0.2">
      <c r="D410">
        <v>7</v>
      </c>
      <c r="F410">
        <f t="shared" si="8"/>
        <v>0</v>
      </c>
    </row>
    <row r="411" spans="1:6" x14ac:dyDescent="0.2">
      <c r="D411">
        <v>8</v>
      </c>
      <c r="F411">
        <f t="shared" si="8"/>
        <v>0</v>
      </c>
    </row>
    <row r="412" spans="1:6" x14ac:dyDescent="0.2">
      <c r="D412">
        <v>9</v>
      </c>
      <c r="F412">
        <f t="shared" si="8"/>
        <v>0</v>
      </c>
    </row>
    <row r="413" spans="1:6" x14ac:dyDescent="0.2">
      <c r="D413">
        <v>10</v>
      </c>
      <c r="F413">
        <f t="shared" si="8"/>
        <v>0</v>
      </c>
    </row>
    <row r="414" spans="1:6" x14ac:dyDescent="0.2">
      <c r="D414">
        <v>11</v>
      </c>
      <c r="F414">
        <f t="shared" si="8"/>
        <v>0</v>
      </c>
    </row>
    <row r="415" spans="1:6" x14ac:dyDescent="0.2">
      <c r="D415">
        <v>12</v>
      </c>
      <c r="F415">
        <f t="shared" si="8"/>
        <v>0</v>
      </c>
    </row>
    <row r="416" spans="1:6" x14ac:dyDescent="0.2">
      <c r="D416">
        <v>13</v>
      </c>
      <c r="F416">
        <f t="shared" si="8"/>
        <v>0</v>
      </c>
    </row>
    <row r="417" spans="4:6" x14ac:dyDescent="0.2">
      <c r="D417">
        <v>14</v>
      </c>
      <c r="F417">
        <f t="shared" si="8"/>
        <v>0</v>
      </c>
    </row>
    <row r="418" spans="4:6" x14ac:dyDescent="0.2">
      <c r="D418">
        <v>15</v>
      </c>
      <c r="F418">
        <f t="shared" si="8"/>
        <v>0</v>
      </c>
    </row>
    <row r="419" spans="4:6" x14ac:dyDescent="0.2">
      <c r="D419">
        <v>16</v>
      </c>
      <c r="F419">
        <f t="shared" si="8"/>
        <v>0</v>
      </c>
    </row>
    <row r="420" spans="4:6" x14ac:dyDescent="0.2">
      <c r="D420">
        <v>17</v>
      </c>
      <c r="F420">
        <f t="shared" si="8"/>
        <v>0</v>
      </c>
    </row>
    <row r="421" spans="4:6" x14ac:dyDescent="0.2">
      <c r="D421">
        <v>18</v>
      </c>
      <c r="F421">
        <f t="shared" si="8"/>
        <v>0</v>
      </c>
    </row>
    <row r="422" spans="4:6" x14ac:dyDescent="0.2">
      <c r="D422">
        <v>19</v>
      </c>
      <c r="F422">
        <f t="shared" si="8"/>
        <v>0</v>
      </c>
    </row>
    <row r="423" spans="4:6" x14ac:dyDescent="0.2">
      <c r="D423">
        <v>20</v>
      </c>
      <c r="F423">
        <f t="shared" si="8"/>
        <v>0</v>
      </c>
    </row>
    <row r="424" spans="4:6" x14ac:dyDescent="0.2">
      <c r="D424">
        <v>21</v>
      </c>
      <c r="F424">
        <f t="shared" si="8"/>
        <v>0</v>
      </c>
    </row>
    <row r="425" spans="4:6" x14ac:dyDescent="0.2">
      <c r="D425">
        <v>22</v>
      </c>
      <c r="F425">
        <f t="shared" si="8"/>
        <v>0</v>
      </c>
    </row>
    <row r="426" spans="4:6" x14ac:dyDescent="0.2">
      <c r="D426">
        <v>23</v>
      </c>
      <c r="F426">
        <f t="shared" si="8"/>
        <v>0</v>
      </c>
    </row>
    <row r="427" spans="4:6" x14ac:dyDescent="0.2">
      <c r="D427">
        <v>24</v>
      </c>
      <c r="F427">
        <f t="shared" si="8"/>
        <v>0</v>
      </c>
    </row>
    <row r="428" spans="4:6" x14ac:dyDescent="0.2">
      <c r="D428">
        <v>25</v>
      </c>
      <c r="F428">
        <f t="shared" si="8"/>
        <v>0</v>
      </c>
    </row>
    <row r="429" spans="4:6" x14ac:dyDescent="0.2">
      <c r="D429">
        <v>26</v>
      </c>
      <c r="F429">
        <f t="shared" si="8"/>
        <v>0</v>
      </c>
    </row>
    <row r="430" spans="4:6" x14ac:dyDescent="0.2">
      <c r="D430">
        <v>27</v>
      </c>
      <c r="F430">
        <f t="shared" si="8"/>
        <v>0</v>
      </c>
    </row>
    <row r="431" spans="4:6" x14ac:dyDescent="0.2">
      <c r="D431">
        <v>28</v>
      </c>
      <c r="F431">
        <f t="shared" si="8"/>
        <v>0</v>
      </c>
    </row>
    <row r="432" spans="4:6" x14ac:dyDescent="0.2">
      <c r="D432">
        <v>29</v>
      </c>
      <c r="F432">
        <f t="shared" si="8"/>
        <v>0</v>
      </c>
    </row>
    <row r="433" spans="4:6" x14ac:dyDescent="0.2">
      <c r="D433">
        <v>30</v>
      </c>
      <c r="F433">
        <f t="shared" si="8"/>
        <v>0</v>
      </c>
    </row>
    <row r="434" spans="4:6" x14ac:dyDescent="0.2">
      <c r="D434">
        <v>31</v>
      </c>
      <c r="F434">
        <f t="shared" si="8"/>
        <v>0</v>
      </c>
    </row>
    <row r="435" spans="4:6" x14ac:dyDescent="0.2">
      <c r="D435">
        <v>32</v>
      </c>
      <c r="F435">
        <f t="shared" si="8"/>
        <v>0</v>
      </c>
    </row>
    <row r="436" spans="4:6" x14ac:dyDescent="0.2">
      <c r="D436">
        <v>33</v>
      </c>
      <c r="F436">
        <f t="shared" si="8"/>
        <v>0</v>
      </c>
    </row>
    <row r="437" spans="4:6" x14ac:dyDescent="0.2">
      <c r="D437">
        <v>34</v>
      </c>
      <c r="F437">
        <f t="shared" si="8"/>
        <v>0</v>
      </c>
    </row>
    <row r="438" spans="4:6" x14ac:dyDescent="0.2">
      <c r="D438">
        <v>35</v>
      </c>
      <c r="F438">
        <f t="shared" si="8"/>
        <v>0</v>
      </c>
    </row>
    <row r="439" spans="4:6" x14ac:dyDescent="0.2">
      <c r="D439">
        <v>36</v>
      </c>
      <c r="F439">
        <f t="shared" si="8"/>
        <v>0</v>
      </c>
    </row>
    <row r="440" spans="4:6" x14ac:dyDescent="0.2">
      <c r="D440">
        <v>37</v>
      </c>
      <c r="F440">
        <f t="shared" si="8"/>
        <v>0</v>
      </c>
    </row>
    <row r="441" spans="4:6" x14ac:dyDescent="0.2">
      <c r="D441">
        <v>38</v>
      </c>
      <c r="F441">
        <f t="shared" si="8"/>
        <v>0</v>
      </c>
    </row>
    <row r="442" spans="4:6" x14ac:dyDescent="0.2">
      <c r="D442">
        <v>39</v>
      </c>
      <c r="F442">
        <f t="shared" si="8"/>
        <v>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DD2-F8FC-3E46-82C0-4C7A96FF7675}">
  <dimension ref="A1:AD85"/>
  <sheetViews>
    <sheetView topLeftCell="H1" workbookViewId="0">
      <selection activeCell="R2" sqref="R2"/>
    </sheetView>
  </sheetViews>
  <sheetFormatPr baseColWidth="10" defaultRowHeight="16" x14ac:dyDescent="0.2"/>
  <cols>
    <col min="3" max="3" width="10.83203125" style="8"/>
    <col min="12" max="12" width="16.6640625" customWidth="1"/>
    <col min="13" max="13" width="8.83203125" style="8"/>
    <col min="14" max="30" width="8.83203125"/>
  </cols>
  <sheetData>
    <row r="1" spans="1:30" x14ac:dyDescent="0.2">
      <c r="A1" t="s">
        <v>9</v>
      </c>
      <c r="B1" t="s">
        <v>10</v>
      </c>
      <c r="C1" s="8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s="8" t="s">
        <v>21</v>
      </c>
      <c r="N1" t="s">
        <v>22</v>
      </c>
      <c r="P1" s="9" t="s">
        <v>14</v>
      </c>
      <c r="R1" t="s">
        <v>17</v>
      </c>
      <c r="S1" t="s">
        <v>23</v>
      </c>
      <c r="T1" t="s">
        <v>24</v>
      </c>
      <c r="U1" t="s">
        <v>25</v>
      </c>
      <c r="V1" t="s">
        <v>26</v>
      </c>
      <c r="X1" t="s">
        <v>27</v>
      </c>
      <c r="Y1" t="s">
        <v>28</v>
      </c>
      <c r="Z1" t="s">
        <v>17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2">
      <c r="A2">
        <v>10</v>
      </c>
      <c r="B2">
        <v>0</v>
      </c>
      <c r="C2" s="8">
        <v>1</v>
      </c>
      <c r="D2">
        <v>10</v>
      </c>
      <c r="E2">
        <v>10</v>
      </c>
      <c r="F2">
        <f>P2/($D$2*C2)</f>
        <v>0</v>
      </c>
      <c r="G2">
        <f>F2*C2</f>
        <v>0</v>
      </c>
      <c r="H2">
        <f>G2*B2</f>
        <v>0</v>
      </c>
      <c r="I2">
        <f>SUM(G2:G80)</f>
        <v>5.5080000000000018</v>
      </c>
      <c r="J2">
        <f>SUM(H2:H82)/I2</f>
        <v>53.999999999999993</v>
      </c>
      <c r="K2">
        <f>(LN(I2)/J2)</f>
        <v>3.1596325571600165E-2</v>
      </c>
      <c r="L2">
        <f>EXP(-($N$2*B2))</f>
        <v>1</v>
      </c>
      <c r="M2" s="8">
        <f>L2*G2</f>
        <v>0</v>
      </c>
      <c r="N2">
        <f>K2</f>
        <v>3.1596325571600165E-2</v>
      </c>
      <c r="P2" s="9">
        <v>0</v>
      </c>
      <c r="R2">
        <f>I2</f>
        <v>5.5080000000000018</v>
      </c>
      <c r="S2">
        <f>N2</f>
        <v>3.1596325571600165E-2</v>
      </c>
      <c r="T2">
        <f>J2</f>
        <v>53.999999999999993</v>
      </c>
      <c r="U2">
        <f>(LN(2))/S2</f>
        <v>21.93758824864652</v>
      </c>
      <c r="V2">
        <f>EXP(S2)</f>
        <v>1.0321007885059681</v>
      </c>
      <c r="X2">
        <v>10</v>
      </c>
      <c r="Y2">
        <v>1</v>
      </c>
      <c r="Z2">
        <v>5.2650000000000015</v>
      </c>
      <c r="AA2">
        <v>3.1061643976722116E-2</v>
      </c>
      <c r="AB2">
        <v>53.476923076923057</v>
      </c>
      <c r="AC2">
        <v>22.315212326797518</v>
      </c>
      <c r="AD2">
        <v>1.0315490907147657</v>
      </c>
    </row>
    <row r="3" spans="1:30" x14ac:dyDescent="0.2">
      <c r="A3">
        <v>10</v>
      </c>
      <c r="B3">
        <v>1</v>
      </c>
      <c r="C3" s="8">
        <f>D3/$E$2</f>
        <v>1</v>
      </c>
      <c r="D3">
        <f>D2-E3</f>
        <v>10</v>
      </c>
      <c r="F3">
        <f t="shared" ref="F3:F66" si="0">P3/($D$2*C3)</f>
        <v>0</v>
      </c>
      <c r="G3">
        <f t="shared" ref="G3:G66" si="1">F3*C3</f>
        <v>0</v>
      </c>
      <c r="H3">
        <f t="shared" ref="H3:H66" si="2">G3*B3</f>
        <v>0</v>
      </c>
      <c r="L3">
        <f t="shared" ref="L3:L38" si="3">EXP(-($N$2*B3))</f>
        <v>0.96889762234128696</v>
      </c>
      <c r="M3" s="8">
        <f t="shared" ref="M3:M38" si="4">L3*G3</f>
        <v>0</v>
      </c>
      <c r="P3" s="10">
        <v>0</v>
      </c>
      <c r="X3">
        <v>10</v>
      </c>
      <c r="Y3">
        <v>2</v>
      </c>
      <c r="Z3">
        <v>5.0220000000000011</v>
      </c>
      <c r="AA3">
        <v>2.9814467272227183E-2</v>
      </c>
      <c r="AB3">
        <v>54.129032258064505</v>
      </c>
      <c r="AC3">
        <v>23.248685754839123</v>
      </c>
      <c r="AD3">
        <v>1.0302633686472453</v>
      </c>
    </row>
    <row r="4" spans="1:30" x14ac:dyDescent="0.2">
      <c r="A4">
        <v>10</v>
      </c>
      <c r="B4">
        <v>2</v>
      </c>
      <c r="C4" s="8">
        <f t="shared" ref="C4:C67" si="5">D4/$E$2</f>
        <v>1</v>
      </c>
      <c r="D4">
        <f t="shared" ref="D4:D67" si="6">D3-E4</f>
        <v>10</v>
      </c>
      <c r="F4">
        <f t="shared" si="0"/>
        <v>0</v>
      </c>
      <c r="G4">
        <f t="shared" si="1"/>
        <v>0</v>
      </c>
      <c r="H4">
        <f t="shared" si="2"/>
        <v>0</v>
      </c>
      <c r="L4">
        <f t="shared" si="3"/>
        <v>0.93876260257859911</v>
      </c>
      <c r="M4" s="8">
        <f t="shared" si="4"/>
        <v>0</v>
      </c>
      <c r="P4" s="11">
        <v>0</v>
      </c>
      <c r="X4">
        <v>10</v>
      </c>
      <c r="Y4">
        <v>3</v>
      </c>
      <c r="Z4">
        <v>5.5080000000000009</v>
      </c>
      <c r="AA4">
        <v>3.1691261267117125E-2</v>
      </c>
      <c r="AB4">
        <v>53.838235294117645</v>
      </c>
      <c r="AC4">
        <v>21.871871072520403</v>
      </c>
      <c r="AD4">
        <v>1.0321987763633678</v>
      </c>
    </row>
    <row r="5" spans="1:30" x14ac:dyDescent="0.2">
      <c r="A5">
        <v>10</v>
      </c>
      <c r="B5">
        <v>3</v>
      </c>
      <c r="C5" s="8">
        <f t="shared" si="5"/>
        <v>1</v>
      </c>
      <c r="D5">
        <f t="shared" si="6"/>
        <v>10</v>
      </c>
      <c r="F5">
        <f t="shared" si="0"/>
        <v>0</v>
      </c>
      <c r="G5">
        <f t="shared" si="1"/>
        <v>0</v>
      </c>
      <c r="H5">
        <f t="shared" si="2"/>
        <v>0</v>
      </c>
      <c r="L5">
        <f t="shared" si="3"/>
        <v>0.90956485358132311</v>
      </c>
      <c r="M5" s="8">
        <f t="shared" si="4"/>
        <v>0</v>
      </c>
      <c r="P5" s="11">
        <v>0</v>
      </c>
      <c r="X5">
        <v>10</v>
      </c>
      <c r="Y5">
        <v>4</v>
      </c>
      <c r="Z5">
        <v>5.7510000000000021</v>
      </c>
      <c r="AA5">
        <v>3.2608436976619817E-2</v>
      </c>
      <c r="AB5">
        <v>53.64788732394365</v>
      </c>
      <c r="AC5">
        <v>21.25668216041543</v>
      </c>
      <c r="AD5">
        <v>1.0331459182898153</v>
      </c>
    </row>
    <row r="6" spans="1:30" x14ac:dyDescent="0.2">
      <c r="A6">
        <v>10</v>
      </c>
      <c r="B6">
        <v>4</v>
      </c>
      <c r="C6" s="8">
        <f t="shared" si="5"/>
        <v>1</v>
      </c>
      <c r="D6">
        <f t="shared" si="6"/>
        <v>10</v>
      </c>
      <c r="F6">
        <f t="shared" si="0"/>
        <v>0</v>
      </c>
      <c r="G6">
        <f t="shared" si="1"/>
        <v>0</v>
      </c>
      <c r="H6">
        <f t="shared" si="2"/>
        <v>0</v>
      </c>
      <c r="L6">
        <f t="shared" si="3"/>
        <v>0.88127522400014469</v>
      </c>
      <c r="M6" s="8">
        <f t="shared" si="4"/>
        <v>0</v>
      </c>
      <c r="P6" s="11">
        <v>0</v>
      </c>
      <c r="X6">
        <v>10</v>
      </c>
      <c r="Y6">
        <v>5</v>
      </c>
      <c r="Z6">
        <v>5.6700000000000017</v>
      </c>
      <c r="AA6">
        <v>3.2329847815218603E-2</v>
      </c>
      <c r="AB6">
        <v>53.671428571428564</v>
      </c>
      <c r="AC6">
        <v>21.43985287285085</v>
      </c>
      <c r="AD6">
        <v>1.0328581351233306</v>
      </c>
    </row>
    <row r="7" spans="1:30" x14ac:dyDescent="0.2">
      <c r="A7">
        <v>10</v>
      </c>
      <c r="B7">
        <v>5</v>
      </c>
      <c r="C7" s="8">
        <f t="shared" si="5"/>
        <v>1</v>
      </c>
      <c r="D7">
        <f t="shared" si="6"/>
        <v>10</v>
      </c>
      <c r="F7">
        <f t="shared" si="0"/>
        <v>0</v>
      </c>
      <c r="G7">
        <f t="shared" si="1"/>
        <v>0</v>
      </c>
      <c r="H7">
        <f t="shared" si="2"/>
        <v>0</v>
      </c>
      <c r="L7">
        <f t="shared" si="3"/>
        <v>0.85386546916202521</v>
      </c>
      <c r="M7" s="8">
        <f t="shared" si="4"/>
        <v>0</v>
      </c>
      <c r="P7" s="11">
        <v>0</v>
      </c>
      <c r="X7">
        <v>10</v>
      </c>
      <c r="Y7">
        <v>6</v>
      </c>
      <c r="Z7">
        <v>3.9689999999999999</v>
      </c>
      <c r="AA7">
        <v>2.6354738398847246E-2</v>
      </c>
      <c r="AB7">
        <v>52.306122448979586</v>
      </c>
      <c r="AC7">
        <v>26.300666319278037</v>
      </c>
      <c r="AD7">
        <v>1.0267050956028412</v>
      </c>
    </row>
    <row r="8" spans="1:30" x14ac:dyDescent="0.2">
      <c r="A8">
        <v>10</v>
      </c>
      <c r="B8">
        <v>6</v>
      </c>
      <c r="C8" s="8">
        <f t="shared" si="5"/>
        <v>1</v>
      </c>
      <c r="D8">
        <f t="shared" si="6"/>
        <v>10</v>
      </c>
      <c r="F8">
        <f t="shared" si="0"/>
        <v>0</v>
      </c>
      <c r="G8">
        <f t="shared" si="1"/>
        <v>0</v>
      </c>
      <c r="H8">
        <f t="shared" si="2"/>
        <v>0</v>
      </c>
      <c r="L8">
        <f t="shared" si="3"/>
        <v>0.82730822287041372</v>
      </c>
      <c r="M8" s="8">
        <f t="shared" si="4"/>
        <v>0</v>
      </c>
      <c r="P8" s="11">
        <v>0</v>
      </c>
      <c r="X8">
        <v>10</v>
      </c>
      <c r="Y8">
        <v>7</v>
      </c>
      <c r="Z8">
        <v>5.1030000000000006</v>
      </c>
      <c r="AA8">
        <v>3.0477649727264938E-2</v>
      </c>
      <c r="AB8">
        <v>53.476190476190474</v>
      </c>
      <c r="AC8">
        <v>22.742802898606193</v>
      </c>
      <c r="AD8">
        <v>1.0309468478480572</v>
      </c>
    </row>
    <row r="9" spans="1:30" x14ac:dyDescent="0.2">
      <c r="A9">
        <v>10</v>
      </c>
      <c r="B9">
        <v>7</v>
      </c>
      <c r="C9" s="8">
        <f t="shared" si="5"/>
        <v>1</v>
      </c>
      <c r="D9">
        <f t="shared" si="6"/>
        <v>10</v>
      </c>
      <c r="F9">
        <f t="shared" si="0"/>
        <v>0</v>
      </c>
      <c r="G9">
        <f t="shared" si="1"/>
        <v>0</v>
      </c>
      <c r="H9">
        <f t="shared" si="2"/>
        <v>0</v>
      </c>
      <c r="L9">
        <f t="shared" si="3"/>
        <v>0.80157697008253936</v>
      </c>
      <c r="M9" s="8">
        <f t="shared" si="4"/>
        <v>0</v>
      </c>
      <c r="P9" s="11">
        <v>0</v>
      </c>
      <c r="X9">
        <v>10</v>
      </c>
      <c r="Y9">
        <v>8</v>
      </c>
      <c r="Z9">
        <v>5.2650000000000015</v>
      </c>
      <c r="AA9">
        <v>3.1459870181551879E-2</v>
      </c>
      <c r="AB9">
        <v>52.8</v>
      </c>
      <c r="AC9">
        <v>22.032741284686164</v>
      </c>
      <c r="AD9">
        <v>1.0319599623987628</v>
      </c>
    </row>
    <row r="10" spans="1:30" x14ac:dyDescent="0.2">
      <c r="A10">
        <v>10</v>
      </c>
      <c r="B10">
        <v>8</v>
      </c>
      <c r="C10" s="8">
        <f t="shared" si="5"/>
        <v>1</v>
      </c>
      <c r="D10">
        <f t="shared" si="6"/>
        <v>10</v>
      </c>
      <c r="F10">
        <f t="shared" si="0"/>
        <v>0</v>
      </c>
      <c r="G10">
        <f t="shared" si="1"/>
        <v>0</v>
      </c>
      <c r="H10">
        <f t="shared" si="2"/>
        <v>0</v>
      </c>
      <c r="L10">
        <f t="shared" si="3"/>
        <v>0.77664602043650521</v>
      </c>
      <c r="M10" s="8">
        <f t="shared" si="4"/>
        <v>0</v>
      </c>
      <c r="P10" s="11">
        <v>0</v>
      </c>
      <c r="X10">
        <v>10</v>
      </c>
      <c r="Y10">
        <v>9</v>
      </c>
      <c r="Z10">
        <v>5.4270000000000023</v>
      </c>
      <c r="AA10">
        <v>3.147858199179028E-2</v>
      </c>
      <c r="AB10">
        <v>53.731343283582071</v>
      </c>
      <c r="AC10">
        <v>22.019644364562559</v>
      </c>
      <c r="AD10">
        <v>1.0319792724184149</v>
      </c>
    </row>
    <row r="11" spans="1:30" x14ac:dyDescent="0.2">
      <c r="A11">
        <v>10</v>
      </c>
      <c r="B11">
        <v>9</v>
      </c>
      <c r="C11" s="8">
        <f t="shared" si="5"/>
        <v>1</v>
      </c>
      <c r="D11">
        <f t="shared" si="6"/>
        <v>10</v>
      </c>
      <c r="F11">
        <f t="shared" si="0"/>
        <v>0</v>
      </c>
      <c r="G11">
        <f t="shared" si="1"/>
        <v>0</v>
      </c>
      <c r="H11">
        <f t="shared" si="2"/>
        <v>0</v>
      </c>
      <c r="L11">
        <f t="shared" si="3"/>
        <v>0.75249048260175244</v>
      </c>
      <c r="M11" s="8">
        <f t="shared" si="4"/>
        <v>0</v>
      </c>
      <c r="P11" s="11">
        <v>0</v>
      </c>
      <c r="X11">
        <v>10</v>
      </c>
      <c r="Y11">
        <v>10</v>
      </c>
      <c r="Z11">
        <v>5.5080000000000018</v>
      </c>
      <c r="AA11">
        <v>3.1596325571600165E-2</v>
      </c>
      <c r="AB11">
        <v>53.999999999999993</v>
      </c>
      <c r="AC11">
        <v>21.93758824864652</v>
      </c>
      <c r="AD11">
        <v>1.0321007885059681</v>
      </c>
    </row>
    <row r="12" spans="1:30" x14ac:dyDescent="0.2">
      <c r="A12">
        <v>10</v>
      </c>
      <c r="B12">
        <v>10</v>
      </c>
      <c r="C12" s="8">
        <f t="shared" si="5"/>
        <v>1</v>
      </c>
      <c r="D12">
        <f t="shared" si="6"/>
        <v>10</v>
      </c>
      <c r="F12">
        <f t="shared" si="0"/>
        <v>0</v>
      </c>
      <c r="G12">
        <f t="shared" si="1"/>
        <v>0</v>
      </c>
      <c r="H12">
        <f t="shared" si="2"/>
        <v>0</v>
      </c>
      <c r="L12">
        <f t="shared" si="3"/>
        <v>0.72908623942728545</v>
      </c>
      <c r="M12" s="8">
        <f t="shared" si="4"/>
        <v>0</v>
      </c>
      <c r="P12" s="11">
        <v>0</v>
      </c>
    </row>
    <row r="13" spans="1:30" x14ac:dyDescent="0.2">
      <c r="A13">
        <v>10</v>
      </c>
      <c r="B13">
        <v>11</v>
      </c>
      <c r="C13" s="8">
        <f t="shared" si="5"/>
        <v>1</v>
      </c>
      <c r="D13">
        <f t="shared" si="6"/>
        <v>10</v>
      </c>
      <c r="F13">
        <f t="shared" si="0"/>
        <v>0</v>
      </c>
      <c r="G13">
        <f t="shared" si="1"/>
        <v>0</v>
      </c>
      <c r="H13">
        <f t="shared" si="2"/>
        <v>0</v>
      </c>
      <c r="L13">
        <f t="shared" si="3"/>
        <v>0.70640992386284718</v>
      </c>
      <c r="M13" s="8">
        <f t="shared" si="4"/>
        <v>0</v>
      </c>
      <c r="P13" s="11">
        <v>0</v>
      </c>
    </row>
    <row r="14" spans="1:30" x14ac:dyDescent="0.2">
      <c r="A14">
        <v>10</v>
      </c>
      <c r="B14">
        <v>12</v>
      </c>
      <c r="C14" s="8">
        <f t="shared" si="5"/>
        <v>1</v>
      </c>
      <c r="D14">
        <f t="shared" si="6"/>
        <v>10</v>
      </c>
      <c r="F14">
        <f t="shared" si="0"/>
        <v>0</v>
      </c>
      <c r="G14">
        <f t="shared" si="1"/>
        <v>0</v>
      </c>
      <c r="H14">
        <f t="shared" si="2"/>
        <v>0</v>
      </c>
      <c r="L14">
        <f t="shared" si="3"/>
        <v>0.68443889562900218</v>
      </c>
      <c r="M14" s="8">
        <f t="shared" si="4"/>
        <v>0</v>
      </c>
      <c r="P14" s="11">
        <v>0</v>
      </c>
    </row>
    <row r="15" spans="1:30" x14ac:dyDescent="0.2">
      <c r="A15">
        <v>10</v>
      </c>
      <c r="B15">
        <v>13</v>
      </c>
      <c r="C15" s="8">
        <f t="shared" si="5"/>
        <v>1</v>
      </c>
      <c r="D15">
        <f t="shared" si="6"/>
        <v>10</v>
      </c>
      <c r="F15">
        <f t="shared" si="0"/>
        <v>0</v>
      </c>
      <c r="G15">
        <f t="shared" si="1"/>
        <v>0</v>
      </c>
      <c r="H15">
        <f t="shared" si="2"/>
        <v>0</v>
      </c>
      <c r="L15">
        <f t="shared" si="3"/>
        <v>0.66315121861283644</v>
      </c>
      <c r="M15" s="8">
        <f t="shared" si="4"/>
        <v>0</v>
      </c>
      <c r="P15" s="11">
        <v>0</v>
      </c>
    </row>
    <row r="16" spans="1:30" x14ac:dyDescent="0.2">
      <c r="A16">
        <v>10</v>
      </c>
      <c r="B16">
        <v>14</v>
      </c>
      <c r="C16" s="8">
        <f t="shared" si="5"/>
        <v>1</v>
      </c>
      <c r="D16">
        <f t="shared" si="6"/>
        <v>10</v>
      </c>
      <c r="F16">
        <f t="shared" si="0"/>
        <v>0</v>
      </c>
      <c r="G16">
        <f t="shared" si="1"/>
        <v>0</v>
      </c>
      <c r="H16">
        <f t="shared" si="2"/>
        <v>0</v>
      </c>
      <c r="L16">
        <f t="shared" si="3"/>
        <v>0.64252563896670423</v>
      </c>
      <c r="M16" s="8">
        <f t="shared" si="4"/>
        <v>0</v>
      </c>
      <c r="P16" s="11">
        <v>0</v>
      </c>
    </row>
    <row r="17" spans="1:16" x14ac:dyDescent="0.2">
      <c r="A17">
        <v>10</v>
      </c>
      <c r="B17">
        <v>15</v>
      </c>
      <c r="C17" s="8">
        <f t="shared" si="5"/>
        <v>1</v>
      </c>
      <c r="D17">
        <f t="shared" si="6"/>
        <v>10</v>
      </c>
      <c r="F17">
        <f t="shared" si="0"/>
        <v>0</v>
      </c>
      <c r="G17">
        <f t="shared" si="1"/>
        <v>0</v>
      </c>
      <c r="H17">
        <f t="shared" si="2"/>
        <v>0</v>
      </c>
      <c r="L17">
        <f t="shared" si="3"/>
        <v>0.62254156388815585</v>
      </c>
      <c r="M17" s="8">
        <f t="shared" si="4"/>
        <v>0</v>
      </c>
      <c r="P17" s="11">
        <v>0</v>
      </c>
    </row>
    <row r="18" spans="1:16" x14ac:dyDescent="0.2">
      <c r="A18">
        <v>10</v>
      </c>
      <c r="B18">
        <v>16</v>
      </c>
      <c r="C18" s="8">
        <f t="shared" si="5"/>
        <v>1</v>
      </c>
      <c r="D18">
        <f t="shared" si="6"/>
        <v>10</v>
      </c>
      <c r="F18">
        <f t="shared" si="0"/>
        <v>0</v>
      </c>
      <c r="G18">
        <f t="shared" si="1"/>
        <v>0</v>
      </c>
      <c r="H18">
        <f t="shared" si="2"/>
        <v>0</v>
      </c>
      <c r="L18">
        <f t="shared" si="3"/>
        <v>0.60317904105986053</v>
      </c>
      <c r="M18" s="8">
        <f t="shared" si="4"/>
        <v>0</v>
      </c>
      <c r="P18" s="11">
        <v>0</v>
      </c>
    </row>
    <row r="19" spans="1:16" x14ac:dyDescent="0.2">
      <c r="A19">
        <v>10</v>
      </c>
      <c r="B19">
        <v>17</v>
      </c>
      <c r="C19" s="8">
        <f t="shared" si="5"/>
        <v>1</v>
      </c>
      <c r="D19">
        <f t="shared" si="6"/>
        <v>10</v>
      </c>
      <c r="F19">
        <f t="shared" si="0"/>
        <v>0</v>
      </c>
      <c r="G19">
        <f t="shared" si="1"/>
        <v>0</v>
      </c>
      <c r="H19">
        <f t="shared" si="2"/>
        <v>0</v>
      </c>
      <c r="L19">
        <f t="shared" si="3"/>
        <v>0.5844187387289963</v>
      </c>
      <c r="M19" s="8">
        <f t="shared" si="4"/>
        <v>0</v>
      </c>
      <c r="P19" s="11">
        <v>0</v>
      </c>
    </row>
    <row r="20" spans="1:16" x14ac:dyDescent="0.2">
      <c r="A20">
        <v>10</v>
      </c>
      <c r="B20">
        <v>18</v>
      </c>
      <c r="C20" s="8">
        <f t="shared" si="5"/>
        <v>1</v>
      </c>
      <c r="D20">
        <f t="shared" si="6"/>
        <v>10</v>
      </c>
      <c r="F20">
        <f t="shared" si="0"/>
        <v>0</v>
      </c>
      <c r="G20">
        <f t="shared" si="1"/>
        <v>0</v>
      </c>
      <c r="H20">
        <f t="shared" si="2"/>
        <v>0</v>
      </c>
      <c r="L20">
        <f t="shared" si="3"/>
        <v>0.56624192640621829</v>
      </c>
      <c r="M20" s="8">
        <f t="shared" si="4"/>
        <v>0</v>
      </c>
      <c r="P20" s="11">
        <v>0</v>
      </c>
    </row>
    <row r="21" spans="1:16" x14ac:dyDescent="0.2">
      <c r="A21">
        <v>10</v>
      </c>
      <c r="B21">
        <v>19</v>
      </c>
      <c r="C21" s="8">
        <f t="shared" si="5"/>
        <v>1</v>
      </c>
      <c r="D21">
        <f t="shared" si="6"/>
        <v>10</v>
      </c>
      <c r="F21">
        <f t="shared" si="0"/>
        <v>0</v>
      </c>
      <c r="G21">
        <f t="shared" si="1"/>
        <v>0</v>
      </c>
      <c r="H21">
        <f t="shared" si="2"/>
        <v>0</v>
      </c>
      <c r="L21">
        <f t="shared" si="3"/>
        <v>0.54863045616493489</v>
      </c>
      <c r="M21" s="8">
        <f t="shared" si="4"/>
        <v>0</v>
      </c>
      <c r="P21" s="11">
        <v>0</v>
      </c>
    </row>
    <row r="22" spans="1:16" x14ac:dyDescent="0.2">
      <c r="A22">
        <v>10</v>
      </c>
      <c r="B22">
        <v>20</v>
      </c>
      <c r="C22" s="8">
        <f t="shared" si="5"/>
        <v>1</v>
      </c>
      <c r="D22">
        <f t="shared" si="6"/>
        <v>10</v>
      </c>
      <c r="F22">
        <f t="shared" si="0"/>
        <v>0</v>
      </c>
      <c r="G22">
        <f t="shared" si="1"/>
        <v>0</v>
      </c>
      <c r="H22">
        <f t="shared" si="2"/>
        <v>0</v>
      </c>
      <c r="L22">
        <f t="shared" si="3"/>
        <v>0.53156674452222108</v>
      </c>
      <c r="M22" s="8">
        <f t="shared" si="4"/>
        <v>0</v>
      </c>
      <c r="P22" s="11">
        <v>0</v>
      </c>
    </row>
    <row r="23" spans="1:16" x14ac:dyDescent="0.2">
      <c r="A23">
        <v>10</v>
      </c>
      <c r="B23">
        <v>21</v>
      </c>
      <c r="C23" s="8">
        <f t="shared" si="5"/>
        <v>1</v>
      </c>
      <c r="D23">
        <f t="shared" si="6"/>
        <v>10</v>
      </c>
      <c r="F23">
        <f t="shared" si="0"/>
        <v>0</v>
      </c>
      <c r="G23">
        <f t="shared" si="1"/>
        <v>0</v>
      </c>
      <c r="H23">
        <f t="shared" si="2"/>
        <v>0</v>
      </c>
      <c r="L23">
        <f t="shared" si="3"/>
        <v>0.51503375488327829</v>
      </c>
      <c r="M23" s="8">
        <f t="shared" si="4"/>
        <v>0</v>
      </c>
      <c r="P23" s="11">
        <v>0</v>
      </c>
    </row>
    <row r="24" spans="1:16" x14ac:dyDescent="0.2">
      <c r="A24">
        <v>10</v>
      </c>
      <c r="B24">
        <v>22</v>
      </c>
      <c r="C24" s="8">
        <f t="shared" si="5"/>
        <v>1</v>
      </c>
      <c r="D24">
        <f t="shared" si="6"/>
        <v>10</v>
      </c>
      <c r="F24">
        <f t="shared" si="0"/>
        <v>0</v>
      </c>
      <c r="G24">
        <f t="shared" si="1"/>
        <v>0</v>
      </c>
      <c r="H24">
        <f t="shared" si="2"/>
        <v>0</v>
      </c>
      <c r="L24">
        <f t="shared" si="3"/>
        <v>0.49901498053191357</v>
      </c>
      <c r="M24" s="8">
        <f t="shared" si="4"/>
        <v>0</v>
      </c>
      <c r="P24" s="11">
        <v>0</v>
      </c>
    </row>
    <row r="25" spans="1:16" x14ac:dyDescent="0.2">
      <c r="A25">
        <v>10</v>
      </c>
      <c r="B25">
        <v>23</v>
      </c>
      <c r="C25" s="8">
        <f t="shared" si="5"/>
        <v>1</v>
      </c>
      <c r="D25">
        <f t="shared" si="6"/>
        <v>10</v>
      </c>
      <c r="F25">
        <f t="shared" si="0"/>
        <v>0</v>
      </c>
      <c r="G25">
        <f t="shared" si="1"/>
        <v>0</v>
      </c>
      <c r="H25">
        <f t="shared" si="2"/>
        <v>0</v>
      </c>
      <c r="L25">
        <f t="shared" si="3"/>
        <v>0.48349442815005461</v>
      </c>
      <c r="M25" s="8">
        <f t="shared" si="4"/>
        <v>0</v>
      </c>
      <c r="P25" s="11">
        <v>0</v>
      </c>
    </row>
    <row r="26" spans="1:16" x14ac:dyDescent="0.2">
      <c r="A26">
        <v>10</v>
      </c>
      <c r="B26">
        <v>24</v>
      </c>
      <c r="C26" s="8">
        <f t="shared" si="5"/>
        <v>1</v>
      </c>
      <c r="D26">
        <f t="shared" si="6"/>
        <v>10</v>
      </c>
      <c r="F26">
        <f t="shared" si="0"/>
        <v>0</v>
      </c>
      <c r="G26">
        <f t="shared" si="1"/>
        <v>0</v>
      </c>
      <c r="H26">
        <f t="shared" si="2"/>
        <v>0</v>
      </c>
      <c r="L26">
        <f t="shared" si="3"/>
        <v>0.46845660184984811</v>
      </c>
      <c r="M26" s="8">
        <f t="shared" si="4"/>
        <v>0</v>
      </c>
      <c r="P26" s="11">
        <v>0</v>
      </c>
    </row>
    <row r="27" spans="1:16" x14ac:dyDescent="0.2">
      <c r="A27">
        <v>10</v>
      </c>
      <c r="B27">
        <v>25</v>
      </c>
      <c r="C27" s="8">
        <f t="shared" si="5"/>
        <v>1</v>
      </c>
      <c r="D27">
        <f t="shared" si="6"/>
        <v>10</v>
      </c>
      <c r="F27">
        <f t="shared" si="0"/>
        <v>0</v>
      </c>
      <c r="G27">
        <f t="shared" si="1"/>
        <v>0</v>
      </c>
      <c r="H27">
        <f t="shared" si="2"/>
        <v>0</v>
      </c>
      <c r="L27">
        <f t="shared" si="3"/>
        <v>0.4538864877023967</v>
      </c>
      <c r="M27" s="8">
        <f t="shared" si="4"/>
        <v>0</v>
      </c>
      <c r="P27" s="11">
        <v>0</v>
      </c>
    </row>
    <row r="28" spans="1:16" x14ac:dyDescent="0.2">
      <c r="A28">
        <v>10</v>
      </c>
      <c r="B28">
        <v>26</v>
      </c>
      <c r="C28" s="8">
        <f t="shared" si="5"/>
        <v>1</v>
      </c>
      <c r="D28">
        <f t="shared" si="6"/>
        <v>10</v>
      </c>
      <c r="F28">
        <f t="shared" si="0"/>
        <v>0</v>
      </c>
      <c r="G28">
        <f t="shared" si="1"/>
        <v>0</v>
      </c>
      <c r="H28">
        <f t="shared" si="2"/>
        <v>0</v>
      </c>
      <c r="L28">
        <f t="shared" si="3"/>
        <v>0.43976953874768993</v>
      </c>
      <c r="M28" s="8">
        <f t="shared" si="4"/>
        <v>0</v>
      </c>
      <c r="P28" s="11">
        <v>0</v>
      </c>
    </row>
    <row r="29" spans="1:16" x14ac:dyDescent="0.2">
      <c r="A29">
        <v>10</v>
      </c>
      <c r="B29">
        <v>27</v>
      </c>
      <c r="C29" s="8">
        <f t="shared" si="5"/>
        <v>1</v>
      </c>
      <c r="D29">
        <f t="shared" si="6"/>
        <v>10</v>
      </c>
      <c r="F29">
        <f t="shared" si="0"/>
        <v>0</v>
      </c>
      <c r="G29">
        <f t="shared" si="1"/>
        <v>0</v>
      </c>
      <c r="H29">
        <f t="shared" si="2"/>
        <v>0</v>
      </c>
      <c r="L29">
        <f t="shared" si="3"/>
        <v>0.42609166047076125</v>
      </c>
      <c r="M29" s="8">
        <f t="shared" si="4"/>
        <v>0</v>
      </c>
      <c r="P29" s="11">
        <v>0</v>
      </c>
    </row>
    <row r="30" spans="1:16" x14ac:dyDescent="0.2">
      <c r="A30">
        <v>10</v>
      </c>
      <c r="B30">
        <v>28</v>
      </c>
      <c r="C30" s="8">
        <f t="shared" si="5"/>
        <v>1</v>
      </c>
      <c r="D30">
        <f t="shared" si="6"/>
        <v>10</v>
      </c>
      <c r="F30">
        <f t="shared" si="0"/>
        <v>0</v>
      </c>
      <c r="G30">
        <f t="shared" si="1"/>
        <v>0</v>
      </c>
      <c r="H30">
        <f t="shared" si="2"/>
        <v>0</v>
      </c>
      <c r="L30">
        <f t="shared" si="3"/>
        <v>0.41283919672957148</v>
      </c>
      <c r="M30" s="8">
        <f t="shared" si="4"/>
        <v>0</v>
      </c>
      <c r="P30" s="11">
        <v>0</v>
      </c>
    </row>
    <row r="31" spans="1:16" x14ac:dyDescent="0.2">
      <c r="A31">
        <v>10</v>
      </c>
      <c r="B31">
        <v>29</v>
      </c>
      <c r="C31" s="8">
        <f t="shared" si="5"/>
        <v>1</v>
      </c>
      <c r="D31">
        <f t="shared" si="6"/>
        <v>10</v>
      </c>
      <c r="F31">
        <f t="shared" si="0"/>
        <v>0</v>
      </c>
      <c r="G31">
        <f t="shared" si="1"/>
        <v>0</v>
      </c>
      <c r="H31">
        <f t="shared" si="2"/>
        <v>0</v>
      </c>
      <c r="L31">
        <f t="shared" si="3"/>
        <v>0.39999891612056859</v>
      </c>
      <c r="M31" s="8">
        <f t="shared" si="4"/>
        <v>0</v>
      </c>
      <c r="P31" s="11">
        <v>0</v>
      </c>
    </row>
    <row r="32" spans="1:16" x14ac:dyDescent="0.2">
      <c r="A32">
        <v>10</v>
      </c>
      <c r="B32">
        <v>30</v>
      </c>
      <c r="C32" s="8">
        <f t="shared" si="5"/>
        <v>1</v>
      </c>
      <c r="D32">
        <f t="shared" si="6"/>
        <v>10</v>
      </c>
      <c r="F32">
        <f t="shared" si="0"/>
        <v>0</v>
      </c>
      <c r="G32">
        <f t="shared" si="1"/>
        <v>0</v>
      </c>
      <c r="H32">
        <f t="shared" si="2"/>
        <v>0</v>
      </c>
      <c r="L32">
        <f t="shared" si="3"/>
        <v>0.38755799876831082</v>
      </c>
      <c r="M32" s="8">
        <f t="shared" si="4"/>
        <v>0</v>
      </c>
      <c r="P32" s="11">
        <v>0</v>
      </c>
    </row>
    <row r="33" spans="1:16" x14ac:dyDescent="0.2">
      <c r="A33">
        <v>10</v>
      </c>
      <c r="B33">
        <v>31</v>
      </c>
      <c r="C33" s="8">
        <f t="shared" si="5"/>
        <v>1</v>
      </c>
      <c r="D33">
        <f t="shared" si="6"/>
        <v>10</v>
      </c>
      <c r="F33">
        <f t="shared" si="0"/>
        <v>0</v>
      </c>
      <c r="G33">
        <f t="shared" si="1"/>
        <v>0</v>
      </c>
      <c r="H33">
        <f t="shared" si="2"/>
        <v>0</v>
      </c>
      <c r="L33">
        <f t="shared" si="3"/>
        <v>0.37550402352596374</v>
      </c>
      <c r="M33" s="8">
        <f t="shared" si="4"/>
        <v>0</v>
      </c>
      <c r="P33" s="11">
        <v>0</v>
      </c>
    </row>
    <row r="34" spans="1:16" x14ac:dyDescent="0.2">
      <c r="A34">
        <v>10</v>
      </c>
      <c r="B34">
        <v>32</v>
      </c>
      <c r="C34" s="8">
        <f t="shared" si="5"/>
        <v>1</v>
      </c>
      <c r="D34">
        <f t="shared" si="6"/>
        <v>10</v>
      </c>
      <c r="F34">
        <f t="shared" si="0"/>
        <v>0</v>
      </c>
      <c r="G34">
        <f t="shared" si="1"/>
        <v>0</v>
      </c>
      <c r="H34">
        <f t="shared" si="2"/>
        <v>0</v>
      </c>
      <c r="L34">
        <f t="shared" si="3"/>
        <v>0.36382495557389294</v>
      </c>
      <c r="M34" s="8">
        <f t="shared" si="4"/>
        <v>0</v>
      </c>
      <c r="P34" s="11">
        <v>0</v>
      </c>
    </row>
    <row r="35" spans="1:16" x14ac:dyDescent="0.2">
      <c r="A35">
        <v>10</v>
      </c>
      <c r="B35">
        <v>33</v>
      </c>
      <c r="C35" s="8">
        <f t="shared" si="5"/>
        <v>1</v>
      </c>
      <c r="D35">
        <f t="shared" si="6"/>
        <v>10</v>
      </c>
      <c r="F35">
        <f t="shared" si="0"/>
        <v>0</v>
      </c>
      <c r="G35">
        <f t="shared" si="1"/>
        <v>0</v>
      </c>
      <c r="H35">
        <f t="shared" si="2"/>
        <v>0</v>
      </c>
      <c r="L35">
        <f t="shared" si="3"/>
        <v>0.35250913440396925</v>
      </c>
      <c r="M35" s="8">
        <f t="shared" si="4"/>
        <v>0</v>
      </c>
      <c r="P35" s="11">
        <v>0</v>
      </c>
    </row>
    <row r="36" spans="1:16" x14ac:dyDescent="0.2">
      <c r="A36">
        <v>10</v>
      </c>
      <c r="B36">
        <v>34</v>
      </c>
      <c r="C36" s="8">
        <f t="shared" si="5"/>
        <v>1</v>
      </c>
      <c r="D36">
        <f t="shared" si="6"/>
        <v>10</v>
      </c>
      <c r="F36">
        <f t="shared" si="0"/>
        <v>0</v>
      </c>
      <c r="G36">
        <f t="shared" si="1"/>
        <v>0</v>
      </c>
      <c r="H36">
        <f t="shared" si="2"/>
        <v>0</v>
      </c>
      <c r="L36">
        <f t="shared" si="3"/>
        <v>0.3415452621775909</v>
      </c>
      <c r="M36" s="8">
        <f t="shared" si="4"/>
        <v>0</v>
      </c>
      <c r="P36" s="11">
        <v>0</v>
      </c>
    </row>
    <row r="37" spans="1:16" x14ac:dyDescent="0.2">
      <c r="A37">
        <v>10</v>
      </c>
      <c r="B37">
        <v>35</v>
      </c>
      <c r="C37" s="8">
        <f t="shared" si="5"/>
        <v>1</v>
      </c>
      <c r="D37">
        <f t="shared" si="6"/>
        <v>10</v>
      </c>
      <c r="F37">
        <f t="shared" si="0"/>
        <v>0</v>
      </c>
      <c r="G37">
        <f t="shared" si="1"/>
        <v>0</v>
      </c>
      <c r="H37">
        <f t="shared" si="2"/>
        <v>0</v>
      </c>
      <c r="L37">
        <f t="shared" si="3"/>
        <v>0.3309223924457993</v>
      </c>
      <c r="M37" s="8">
        <f t="shared" si="4"/>
        <v>0</v>
      </c>
      <c r="P37" s="11">
        <v>0</v>
      </c>
    </row>
    <row r="38" spans="1:16" x14ac:dyDescent="0.2">
      <c r="A38">
        <v>10</v>
      </c>
      <c r="B38">
        <v>36</v>
      </c>
      <c r="C38" s="8">
        <f t="shared" si="5"/>
        <v>1</v>
      </c>
      <c r="D38">
        <f t="shared" si="6"/>
        <v>10</v>
      </c>
      <c r="F38">
        <f t="shared" si="0"/>
        <v>0</v>
      </c>
      <c r="G38">
        <f t="shared" si="1"/>
        <v>0</v>
      </c>
      <c r="H38">
        <f t="shared" si="2"/>
        <v>0</v>
      </c>
      <c r="L38">
        <f t="shared" si="3"/>
        <v>0.32062991922022516</v>
      </c>
      <c r="M38" s="8">
        <f t="shared" si="4"/>
        <v>0</v>
      </c>
      <c r="P38" s="11">
        <v>0</v>
      </c>
    </row>
    <row r="39" spans="1:16" x14ac:dyDescent="0.2">
      <c r="A39">
        <v>10</v>
      </c>
      <c r="B39">
        <v>37</v>
      </c>
      <c r="C39" s="8">
        <f t="shared" si="5"/>
        <v>1</v>
      </c>
      <c r="D39">
        <f t="shared" si="6"/>
        <v>10</v>
      </c>
      <c r="F39">
        <f t="shared" si="0"/>
        <v>0</v>
      </c>
      <c r="G39">
        <f t="shared" si="1"/>
        <v>0</v>
      </c>
      <c r="H39">
        <f t="shared" si="2"/>
        <v>0</v>
      </c>
      <c r="M39" s="8">
        <f>SUM(M2:M38)</f>
        <v>0</v>
      </c>
      <c r="P39" s="11">
        <v>0</v>
      </c>
    </row>
    <row r="40" spans="1:16" x14ac:dyDescent="0.2">
      <c r="A40">
        <v>10</v>
      </c>
      <c r="B40">
        <v>38</v>
      </c>
      <c r="C40" s="8">
        <f t="shared" si="5"/>
        <v>1</v>
      </c>
      <c r="D40">
        <f t="shared" si="6"/>
        <v>10</v>
      </c>
      <c r="F40">
        <f t="shared" si="0"/>
        <v>0</v>
      </c>
      <c r="G40">
        <f t="shared" si="1"/>
        <v>0</v>
      </c>
      <c r="H40">
        <f t="shared" si="2"/>
        <v>0</v>
      </c>
      <c r="P40" s="11">
        <v>0</v>
      </c>
    </row>
    <row r="41" spans="1:16" x14ac:dyDescent="0.2">
      <c r="A41">
        <v>10</v>
      </c>
      <c r="B41">
        <v>39</v>
      </c>
      <c r="C41" s="8">
        <f t="shared" si="5"/>
        <v>1</v>
      </c>
      <c r="D41">
        <f t="shared" si="6"/>
        <v>10</v>
      </c>
      <c r="F41">
        <f t="shared" si="0"/>
        <v>0</v>
      </c>
      <c r="G41">
        <f t="shared" si="1"/>
        <v>0</v>
      </c>
      <c r="H41">
        <f t="shared" si="2"/>
        <v>0</v>
      </c>
      <c r="P41" s="11">
        <v>0</v>
      </c>
    </row>
    <row r="42" spans="1:16" x14ac:dyDescent="0.2">
      <c r="A42">
        <v>10</v>
      </c>
      <c r="B42">
        <v>40</v>
      </c>
      <c r="C42" s="8">
        <f t="shared" si="5"/>
        <v>1</v>
      </c>
      <c r="D42">
        <f t="shared" si="6"/>
        <v>10</v>
      </c>
      <c r="F42">
        <f t="shared" si="0"/>
        <v>0</v>
      </c>
      <c r="G42">
        <f t="shared" si="1"/>
        <v>0</v>
      </c>
      <c r="H42">
        <f t="shared" si="2"/>
        <v>0</v>
      </c>
      <c r="P42" s="11">
        <v>0</v>
      </c>
    </row>
    <row r="43" spans="1:16" x14ac:dyDescent="0.2">
      <c r="A43">
        <v>10</v>
      </c>
      <c r="B43">
        <v>41</v>
      </c>
      <c r="C43" s="8">
        <f t="shared" si="5"/>
        <v>1</v>
      </c>
      <c r="D43">
        <f t="shared" si="6"/>
        <v>10</v>
      </c>
      <c r="F43">
        <f t="shared" si="0"/>
        <v>0</v>
      </c>
      <c r="G43">
        <f t="shared" si="1"/>
        <v>0</v>
      </c>
      <c r="H43">
        <f t="shared" si="2"/>
        <v>0</v>
      </c>
      <c r="P43" s="11">
        <v>0</v>
      </c>
    </row>
    <row r="44" spans="1:16" x14ac:dyDescent="0.2">
      <c r="A44">
        <v>10</v>
      </c>
      <c r="B44">
        <v>42</v>
      </c>
      <c r="C44" s="8">
        <f t="shared" si="5"/>
        <v>1</v>
      </c>
      <c r="D44">
        <f t="shared" si="6"/>
        <v>10</v>
      </c>
      <c r="F44">
        <f t="shared" si="0"/>
        <v>0</v>
      </c>
      <c r="G44">
        <f t="shared" si="1"/>
        <v>0</v>
      </c>
      <c r="H44">
        <f t="shared" si="2"/>
        <v>0</v>
      </c>
      <c r="P44" s="11">
        <v>0</v>
      </c>
    </row>
    <row r="45" spans="1:16" x14ac:dyDescent="0.2">
      <c r="A45">
        <v>10</v>
      </c>
      <c r="B45">
        <v>43</v>
      </c>
      <c r="C45" s="8">
        <f t="shared" si="5"/>
        <v>1</v>
      </c>
      <c r="D45">
        <f t="shared" si="6"/>
        <v>10</v>
      </c>
      <c r="F45">
        <f t="shared" si="0"/>
        <v>0</v>
      </c>
      <c r="G45">
        <f t="shared" si="1"/>
        <v>0</v>
      </c>
      <c r="H45">
        <f t="shared" si="2"/>
        <v>0</v>
      </c>
      <c r="P45" s="11">
        <v>0</v>
      </c>
    </row>
    <row r="46" spans="1:16" x14ac:dyDescent="0.2">
      <c r="A46">
        <v>10</v>
      </c>
      <c r="B46">
        <v>44</v>
      </c>
      <c r="C46" s="8">
        <f t="shared" si="5"/>
        <v>1</v>
      </c>
      <c r="D46">
        <f t="shared" si="6"/>
        <v>10</v>
      </c>
      <c r="F46">
        <f t="shared" si="0"/>
        <v>0</v>
      </c>
      <c r="G46">
        <f t="shared" si="1"/>
        <v>0</v>
      </c>
      <c r="H46">
        <f t="shared" si="2"/>
        <v>0</v>
      </c>
      <c r="P46" s="11">
        <v>0</v>
      </c>
    </row>
    <row r="47" spans="1:16" x14ac:dyDescent="0.2">
      <c r="A47">
        <v>10</v>
      </c>
      <c r="B47">
        <v>45</v>
      </c>
      <c r="C47" s="8">
        <f t="shared" si="5"/>
        <v>1</v>
      </c>
      <c r="D47">
        <f t="shared" si="6"/>
        <v>10</v>
      </c>
      <c r="F47">
        <f t="shared" si="0"/>
        <v>0.24300000000000002</v>
      </c>
      <c r="G47">
        <f t="shared" si="1"/>
        <v>0.24300000000000002</v>
      </c>
      <c r="H47">
        <f t="shared" si="2"/>
        <v>10.935</v>
      </c>
      <c r="P47" s="11">
        <v>2.4300000000000002</v>
      </c>
    </row>
    <row r="48" spans="1:16" x14ac:dyDescent="0.2">
      <c r="A48">
        <v>10</v>
      </c>
      <c r="B48">
        <v>46</v>
      </c>
      <c r="C48" s="8">
        <f t="shared" si="5"/>
        <v>1</v>
      </c>
      <c r="D48">
        <f t="shared" si="6"/>
        <v>10</v>
      </c>
      <c r="F48">
        <f t="shared" si="0"/>
        <v>0.40500000000000008</v>
      </c>
      <c r="G48">
        <f t="shared" si="1"/>
        <v>0.40500000000000008</v>
      </c>
      <c r="H48">
        <f t="shared" si="2"/>
        <v>18.630000000000003</v>
      </c>
      <c r="P48" s="11">
        <v>4.0500000000000007</v>
      </c>
    </row>
    <row r="49" spans="1:16" x14ac:dyDescent="0.2">
      <c r="A49">
        <v>10</v>
      </c>
      <c r="B49">
        <v>47</v>
      </c>
      <c r="C49" s="8">
        <f t="shared" si="5"/>
        <v>1</v>
      </c>
      <c r="D49">
        <f t="shared" si="6"/>
        <v>10</v>
      </c>
      <c r="F49">
        <f t="shared" si="0"/>
        <v>0</v>
      </c>
      <c r="G49">
        <f t="shared" si="1"/>
        <v>0</v>
      </c>
      <c r="H49">
        <f t="shared" si="2"/>
        <v>0</v>
      </c>
      <c r="M49"/>
      <c r="P49" s="11">
        <v>0</v>
      </c>
    </row>
    <row r="50" spans="1:16" x14ac:dyDescent="0.2">
      <c r="A50">
        <v>10</v>
      </c>
      <c r="B50">
        <v>48</v>
      </c>
      <c r="C50" s="8">
        <f t="shared" si="5"/>
        <v>1</v>
      </c>
      <c r="D50">
        <f t="shared" si="6"/>
        <v>10</v>
      </c>
      <c r="F50">
        <f t="shared" si="0"/>
        <v>0</v>
      </c>
      <c r="G50">
        <f t="shared" si="1"/>
        <v>0</v>
      </c>
      <c r="H50">
        <f t="shared" si="2"/>
        <v>0</v>
      </c>
      <c r="M50"/>
      <c r="P50" s="11">
        <v>0</v>
      </c>
    </row>
    <row r="51" spans="1:16" x14ac:dyDescent="0.2">
      <c r="A51">
        <v>10</v>
      </c>
      <c r="B51">
        <v>49</v>
      </c>
      <c r="C51" s="8">
        <f t="shared" si="5"/>
        <v>1</v>
      </c>
      <c r="D51">
        <f t="shared" si="6"/>
        <v>10</v>
      </c>
      <c r="F51">
        <f t="shared" si="0"/>
        <v>0.89100000000000024</v>
      </c>
      <c r="G51">
        <f t="shared" si="1"/>
        <v>0.89100000000000024</v>
      </c>
      <c r="H51">
        <f t="shared" si="2"/>
        <v>43.659000000000013</v>
      </c>
      <c r="M51"/>
      <c r="P51" s="11">
        <v>8.9100000000000019</v>
      </c>
    </row>
    <row r="52" spans="1:16" x14ac:dyDescent="0.2">
      <c r="A52">
        <v>10</v>
      </c>
      <c r="B52">
        <v>50</v>
      </c>
      <c r="C52" s="8">
        <f t="shared" si="5"/>
        <v>1</v>
      </c>
      <c r="D52">
        <f t="shared" si="6"/>
        <v>10</v>
      </c>
      <c r="F52">
        <f t="shared" si="0"/>
        <v>0</v>
      </c>
      <c r="G52">
        <f t="shared" si="1"/>
        <v>0</v>
      </c>
      <c r="H52">
        <f t="shared" si="2"/>
        <v>0</v>
      </c>
      <c r="M52"/>
      <c r="P52" s="11">
        <v>0</v>
      </c>
    </row>
    <row r="53" spans="1:16" x14ac:dyDescent="0.2">
      <c r="A53">
        <v>10</v>
      </c>
      <c r="B53">
        <v>51</v>
      </c>
      <c r="C53" s="8">
        <f t="shared" si="5"/>
        <v>1</v>
      </c>
      <c r="D53">
        <f t="shared" si="6"/>
        <v>10</v>
      </c>
      <c r="F53">
        <f t="shared" si="0"/>
        <v>0.64800000000000013</v>
      </c>
      <c r="G53">
        <f t="shared" si="1"/>
        <v>0.64800000000000013</v>
      </c>
      <c r="H53">
        <f t="shared" si="2"/>
        <v>33.048000000000009</v>
      </c>
      <c r="M53"/>
      <c r="P53" s="11">
        <v>6.4800000000000013</v>
      </c>
    </row>
    <row r="54" spans="1:16" x14ac:dyDescent="0.2">
      <c r="A54">
        <v>10</v>
      </c>
      <c r="B54">
        <v>52</v>
      </c>
      <c r="C54" s="8">
        <f t="shared" si="5"/>
        <v>1</v>
      </c>
      <c r="D54">
        <f t="shared" si="6"/>
        <v>10</v>
      </c>
      <c r="F54">
        <f t="shared" si="0"/>
        <v>0.56699999999999995</v>
      </c>
      <c r="G54">
        <f t="shared" si="1"/>
        <v>0.56699999999999995</v>
      </c>
      <c r="H54">
        <f t="shared" si="2"/>
        <v>29.483999999999998</v>
      </c>
      <c r="M54"/>
      <c r="P54" s="11">
        <v>5.67</v>
      </c>
    </row>
    <row r="55" spans="1:16" x14ac:dyDescent="0.2">
      <c r="A55">
        <v>10</v>
      </c>
      <c r="B55">
        <v>53</v>
      </c>
      <c r="C55" s="8">
        <f t="shared" si="5"/>
        <v>1</v>
      </c>
      <c r="D55">
        <f t="shared" si="6"/>
        <v>10</v>
      </c>
      <c r="F55">
        <f t="shared" si="0"/>
        <v>0</v>
      </c>
      <c r="G55">
        <f t="shared" si="1"/>
        <v>0</v>
      </c>
      <c r="H55">
        <f t="shared" si="2"/>
        <v>0</v>
      </c>
      <c r="M55"/>
      <c r="P55" s="11">
        <v>0</v>
      </c>
    </row>
    <row r="56" spans="1:16" x14ac:dyDescent="0.2">
      <c r="A56">
        <v>10</v>
      </c>
      <c r="B56">
        <v>54</v>
      </c>
      <c r="C56" s="8">
        <f t="shared" si="5"/>
        <v>1</v>
      </c>
      <c r="D56">
        <f t="shared" si="6"/>
        <v>10</v>
      </c>
      <c r="F56">
        <f t="shared" si="0"/>
        <v>0.56699999999999995</v>
      </c>
      <c r="G56">
        <f t="shared" si="1"/>
        <v>0.56699999999999995</v>
      </c>
      <c r="H56">
        <f t="shared" si="2"/>
        <v>30.617999999999999</v>
      </c>
      <c r="M56"/>
      <c r="P56" s="11">
        <v>5.67</v>
      </c>
    </row>
    <row r="57" spans="1:16" x14ac:dyDescent="0.2">
      <c r="A57">
        <v>10</v>
      </c>
      <c r="B57">
        <v>55</v>
      </c>
      <c r="C57" s="8">
        <f t="shared" si="5"/>
        <v>0.9</v>
      </c>
      <c r="D57">
        <f t="shared" si="6"/>
        <v>9</v>
      </c>
      <c r="E57">
        <v>1</v>
      </c>
      <c r="F57">
        <f t="shared" si="0"/>
        <v>0.45000000000000007</v>
      </c>
      <c r="G57">
        <f t="shared" si="1"/>
        <v>0.40500000000000008</v>
      </c>
      <c r="H57">
        <f t="shared" si="2"/>
        <v>22.275000000000006</v>
      </c>
      <c r="M57"/>
      <c r="P57" s="11">
        <v>4.0500000000000007</v>
      </c>
    </row>
    <row r="58" spans="1:16" x14ac:dyDescent="0.2">
      <c r="A58">
        <v>10</v>
      </c>
      <c r="B58">
        <v>56</v>
      </c>
      <c r="C58" s="8">
        <f t="shared" si="5"/>
        <v>0.9</v>
      </c>
      <c r="D58">
        <f t="shared" si="6"/>
        <v>9</v>
      </c>
      <c r="F58">
        <f t="shared" si="0"/>
        <v>0.18000000000000002</v>
      </c>
      <c r="G58">
        <f t="shared" si="1"/>
        <v>0.16200000000000003</v>
      </c>
      <c r="H58">
        <f t="shared" si="2"/>
        <v>9.0720000000000027</v>
      </c>
      <c r="M58"/>
      <c r="P58" s="11">
        <v>1.62</v>
      </c>
    </row>
    <row r="59" spans="1:16" x14ac:dyDescent="0.2">
      <c r="A59">
        <v>10</v>
      </c>
      <c r="B59">
        <v>57</v>
      </c>
      <c r="C59" s="8">
        <f t="shared" si="5"/>
        <v>0.9</v>
      </c>
      <c r="D59">
        <f t="shared" si="6"/>
        <v>9</v>
      </c>
      <c r="F59">
        <f t="shared" si="0"/>
        <v>0.45000000000000007</v>
      </c>
      <c r="G59">
        <f t="shared" si="1"/>
        <v>0.40500000000000008</v>
      </c>
      <c r="H59">
        <f t="shared" si="2"/>
        <v>23.085000000000004</v>
      </c>
      <c r="M59"/>
      <c r="P59" s="11">
        <v>4.0500000000000007</v>
      </c>
    </row>
    <row r="60" spans="1:16" x14ac:dyDescent="0.2">
      <c r="A60">
        <v>10</v>
      </c>
      <c r="B60">
        <v>58</v>
      </c>
      <c r="C60" s="8">
        <f t="shared" si="5"/>
        <v>0.9</v>
      </c>
      <c r="D60">
        <f t="shared" si="6"/>
        <v>9</v>
      </c>
      <c r="F60">
        <f t="shared" si="0"/>
        <v>0</v>
      </c>
      <c r="G60">
        <f t="shared" si="1"/>
        <v>0</v>
      </c>
      <c r="H60">
        <f t="shared" si="2"/>
        <v>0</v>
      </c>
      <c r="M60"/>
      <c r="P60" s="11">
        <v>0</v>
      </c>
    </row>
    <row r="61" spans="1:16" x14ac:dyDescent="0.2">
      <c r="A61">
        <v>10</v>
      </c>
      <c r="B61">
        <v>59</v>
      </c>
      <c r="C61" s="8">
        <f t="shared" si="5"/>
        <v>0.9</v>
      </c>
      <c r="D61">
        <f t="shared" si="6"/>
        <v>9</v>
      </c>
      <c r="F61">
        <f t="shared" si="0"/>
        <v>0.18000000000000002</v>
      </c>
      <c r="G61">
        <f t="shared" si="1"/>
        <v>0.16200000000000003</v>
      </c>
      <c r="H61">
        <f t="shared" si="2"/>
        <v>9.5580000000000016</v>
      </c>
      <c r="M61"/>
      <c r="P61" s="11">
        <v>1.62</v>
      </c>
    </row>
    <row r="62" spans="1:16" x14ac:dyDescent="0.2">
      <c r="A62">
        <v>10</v>
      </c>
      <c r="B62">
        <v>60</v>
      </c>
      <c r="C62" s="8">
        <f t="shared" si="5"/>
        <v>0.9</v>
      </c>
      <c r="D62">
        <f t="shared" si="6"/>
        <v>9</v>
      </c>
      <c r="F62">
        <f t="shared" si="0"/>
        <v>0.54</v>
      </c>
      <c r="G62">
        <f t="shared" si="1"/>
        <v>0.48600000000000004</v>
      </c>
      <c r="H62">
        <f t="shared" si="2"/>
        <v>29.160000000000004</v>
      </c>
      <c r="M62"/>
      <c r="P62" s="11">
        <v>4.8600000000000003</v>
      </c>
    </row>
    <row r="63" spans="1:16" x14ac:dyDescent="0.2">
      <c r="A63">
        <v>10</v>
      </c>
      <c r="B63">
        <v>61</v>
      </c>
      <c r="C63" s="8">
        <f t="shared" si="5"/>
        <v>0.9</v>
      </c>
      <c r="D63">
        <f t="shared" si="6"/>
        <v>9</v>
      </c>
      <c r="F63">
        <f t="shared" si="0"/>
        <v>0</v>
      </c>
      <c r="G63">
        <f t="shared" si="1"/>
        <v>0</v>
      </c>
      <c r="H63">
        <f t="shared" si="2"/>
        <v>0</v>
      </c>
      <c r="M63"/>
      <c r="P63" s="11">
        <v>0</v>
      </c>
    </row>
    <row r="64" spans="1:16" x14ac:dyDescent="0.2">
      <c r="A64">
        <v>10</v>
      </c>
      <c r="B64">
        <v>62</v>
      </c>
      <c r="C64" s="8">
        <f t="shared" si="5"/>
        <v>0.9</v>
      </c>
      <c r="D64">
        <f t="shared" si="6"/>
        <v>9</v>
      </c>
      <c r="F64">
        <f t="shared" si="0"/>
        <v>0</v>
      </c>
      <c r="G64">
        <f t="shared" si="1"/>
        <v>0</v>
      </c>
      <c r="H64">
        <f t="shared" si="2"/>
        <v>0</v>
      </c>
      <c r="M64"/>
      <c r="P64" s="11">
        <v>0</v>
      </c>
    </row>
    <row r="65" spans="1:16" x14ac:dyDescent="0.2">
      <c r="A65">
        <v>10</v>
      </c>
      <c r="B65">
        <v>63</v>
      </c>
      <c r="C65" s="8">
        <f t="shared" si="5"/>
        <v>0.8</v>
      </c>
      <c r="D65">
        <f t="shared" si="6"/>
        <v>8</v>
      </c>
      <c r="E65">
        <v>1</v>
      </c>
      <c r="F65">
        <f t="shared" si="0"/>
        <v>0.20250000000000001</v>
      </c>
      <c r="G65">
        <f t="shared" si="1"/>
        <v>0.16200000000000003</v>
      </c>
      <c r="H65">
        <f t="shared" si="2"/>
        <v>10.206000000000001</v>
      </c>
      <c r="M65"/>
      <c r="P65" s="11">
        <v>1.62</v>
      </c>
    </row>
    <row r="66" spans="1:16" x14ac:dyDescent="0.2">
      <c r="A66">
        <v>10</v>
      </c>
      <c r="B66">
        <v>64</v>
      </c>
      <c r="C66" s="8">
        <f t="shared" si="5"/>
        <v>0.8</v>
      </c>
      <c r="D66">
        <f t="shared" si="6"/>
        <v>8</v>
      </c>
      <c r="F66">
        <f t="shared" si="0"/>
        <v>0.10125000000000001</v>
      </c>
      <c r="G66">
        <f t="shared" si="1"/>
        <v>8.1000000000000016E-2</v>
      </c>
      <c r="H66">
        <f t="shared" si="2"/>
        <v>5.1840000000000011</v>
      </c>
      <c r="M66"/>
      <c r="P66" s="11">
        <v>0.81</v>
      </c>
    </row>
    <row r="67" spans="1:16" x14ac:dyDescent="0.2">
      <c r="A67">
        <v>10</v>
      </c>
      <c r="B67">
        <v>65</v>
      </c>
      <c r="C67" s="8">
        <f t="shared" si="5"/>
        <v>0.8</v>
      </c>
      <c r="D67">
        <f t="shared" si="6"/>
        <v>8</v>
      </c>
      <c r="F67">
        <f t="shared" ref="F67:F78" si="7">P67/($D$2*C67)</f>
        <v>0</v>
      </c>
      <c r="G67">
        <f t="shared" ref="G67:G78" si="8">F67*C67</f>
        <v>0</v>
      </c>
      <c r="H67">
        <f t="shared" ref="H67:H78" si="9">G67*B67</f>
        <v>0</v>
      </c>
      <c r="M67"/>
      <c r="P67" s="11">
        <v>0</v>
      </c>
    </row>
    <row r="68" spans="1:16" x14ac:dyDescent="0.2">
      <c r="A68">
        <v>10</v>
      </c>
      <c r="B68">
        <v>66</v>
      </c>
      <c r="C68" s="8">
        <f t="shared" ref="C68:C80" si="10">D68/$E$2</f>
        <v>0.7</v>
      </c>
      <c r="D68">
        <f t="shared" ref="D68:D80" si="11">D67-E68</f>
        <v>7</v>
      </c>
      <c r="E68">
        <v>1</v>
      </c>
      <c r="F68">
        <f t="shared" si="7"/>
        <v>0</v>
      </c>
      <c r="G68">
        <f t="shared" si="8"/>
        <v>0</v>
      </c>
      <c r="H68">
        <f t="shared" si="9"/>
        <v>0</v>
      </c>
      <c r="M68"/>
      <c r="P68" s="11">
        <v>0</v>
      </c>
    </row>
    <row r="69" spans="1:16" x14ac:dyDescent="0.2">
      <c r="A69">
        <v>10</v>
      </c>
      <c r="B69">
        <v>67</v>
      </c>
      <c r="C69" s="8">
        <f t="shared" si="10"/>
        <v>0.7</v>
      </c>
      <c r="D69">
        <f t="shared" si="11"/>
        <v>7</v>
      </c>
      <c r="F69">
        <f t="shared" si="7"/>
        <v>0</v>
      </c>
      <c r="G69">
        <f t="shared" si="8"/>
        <v>0</v>
      </c>
      <c r="H69">
        <f t="shared" si="9"/>
        <v>0</v>
      </c>
      <c r="M69"/>
      <c r="P69" s="11">
        <v>0</v>
      </c>
    </row>
    <row r="70" spans="1:16" x14ac:dyDescent="0.2">
      <c r="A70">
        <v>10</v>
      </c>
      <c r="B70">
        <v>68</v>
      </c>
      <c r="C70" s="8">
        <f t="shared" si="10"/>
        <v>0.6</v>
      </c>
      <c r="D70">
        <f t="shared" si="11"/>
        <v>6</v>
      </c>
      <c r="E70">
        <v>1</v>
      </c>
      <c r="F70">
        <f t="shared" si="7"/>
        <v>0.13500000000000001</v>
      </c>
      <c r="G70">
        <f t="shared" si="8"/>
        <v>8.1000000000000003E-2</v>
      </c>
      <c r="H70">
        <f t="shared" si="9"/>
        <v>5.508</v>
      </c>
      <c r="M70"/>
      <c r="P70" s="11">
        <v>0.81</v>
      </c>
    </row>
    <row r="71" spans="1:16" x14ac:dyDescent="0.2">
      <c r="A71">
        <v>10</v>
      </c>
      <c r="B71">
        <v>69</v>
      </c>
      <c r="C71" s="8">
        <f t="shared" si="10"/>
        <v>0.6</v>
      </c>
      <c r="D71">
        <f t="shared" si="11"/>
        <v>6</v>
      </c>
      <c r="F71">
        <f t="shared" si="7"/>
        <v>0</v>
      </c>
      <c r="G71">
        <f t="shared" si="8"/>
        <v>0</v>
      </c>
      <c r="H71">
        <f t="shared" si="9"/>
        <v>0</v>
      </c>
      <c r="M71"/>
      <c r="P71" s="11">
        <v>0</v>
      </c>
    </row>
    <row r="72" spans="1:16" x14ac:dyDescent="0.2">
      <c r="A72">
        <v>10</v>
      </c>
      <c r="B72">
        <v>70</v>
      </c>
      <c r="C72" s="8">
        <f t="shared" si="10"/>
        <v>0.5</v>
      </c>
      <c r="D72">
        <f t="shared" si="11"/>
        <v>5</v>
      </c>
      <c r="E72">
        <v>1</v>
      </c>
      <c r="F72">
        <f t="shared" si="7"/>
        <v>0.48600000000000004</v>
      </c>
      <c r="G72">
        <f t="shared" si="8"/>
        <v>0.24300000000000002</v>
      </c>
      <c r="H72">
        <f t="shared" si="9"/>
        <v>17.010000000000002</v>
      </c>
      <c r="M72"/>
      <c r="P72" s="11">
        <v>2.4300000000000002</v>
      </c>
    </row>
    <row r="73" spans="1:16" x14ac:dyDescent="0.2">
      <c r="A73">
        <v>10</v>
      </c>
      <c r="B73">
        <v>71</v>
      </c>
      <c r="C73" s="8">
        <f t="shared" si="10"/>
        <v>0.5</v>
      </c>
      <c r="D73">
        <f t="shared" si="11"/>
        <v>5</v>
      </c>
      <c r="F73">
        <f t="shared" si="7"/>
        <v>0</v>
      </c>
      <c r="G73">
        <f t="shared" si="8"/>
        <v>0</v>
      </c>
      <c r="H73">
        <f t="shared" si="9"/>
        <v>0</v>
      </c>
      <c r="M73"/>
      <c r="P73" s="11">
        <v>0</v>
      </c>
    </row>
    <row r="74" spans="1:16" x14ac:dyDescent="0.2">
      <c r="A74">
        <v>10</v>
      </c>
      <c r="B74">
        <v>72</v>
      </c>
      <c r="C74" s="8">
        <f t="shared" si="10"/>
        <v>0.5</v>
      </c>
      <c r="D74">
        <f t="shared" si="11"/>
        <v>5</v>
      </c>
      <c r="F74">
        <f t="shared" si="7"/>
        <v>0</v>
      </c>
      <c r="G74">
        <f t="shared" si="8"/>
        <v>0</v>
      </c>
      <c r="H74">
        <f t="shared" si="9"/>
        <v>0</v>
      </c>
      <c r="M74"/>
      <c r="P74" s="11">
        <v>0</v>
      </c>
    </row>
    <row r="75" spans="1:16" x14ac:dyDescent="0.2">
      <c r="A75">
        <v>10</v>
      </c>
      <c r="B75">
        <v>73</v>
      </c>
      <c r="C75" s="8">
        <f t="shared" si="10"/>
        <v>0.3</v>
      </c>
      <c r="D75">
        <f t="shared" si="11"/>
        <v>3</v>
      </c>
      <c r="E75">
        <v>2</v>
      </c>
      <c r="F75">
        <f t="shared" si="7"/>
        <v>0</v>
      </c>
      <c r="G75">
        <f t="shared" si="8"/>
        <v>0</v>
      </c>
      <c r="H75">
        <f t="shared" si="9"/>
        <v>0</v>
      </c>
      <c r="M75"/>
      <c r="P75" s="11">
        <v>0</v>
      </c>
    </row>
    <row r="76" spans="1:16" x14ac:dyDescent="0.2">
      <c r="A76">
        <v>10</v>
      </c>
      <c r="B76">
        <v>74</v>
      </c>
      <c r="C76" s="8">
        <f t="shared" si="10"/>
        <v>0.3</v>
      </c>
      <c r="D76">
        <f t="shared" si="11"/>
        <v>3</v>
      </c>
      <c r="F76">
        <f t="shared" si="7"/>
        <v>0</v>
      </c>
      <c r="G76">
        <f t="shared" si="8"/>
        <v>0</v>
      </c>
      <c r="H76">
        <f t="shared" si="9"/>
        <v>0</v>
      </c>
      <c r="M76"/>
      <c r="P76" s="11">
        <v>0</v>
      </c>
    </row>
    <row r="77" spans="1:16" x14ac:dyDescent="0.2">
      <c r="A77">
        <v>10</v>
      </c>
      <c r="B77">
        <v>75</v>
      </c>
      <c r="C77" s="8">
        <f t="shared" si="10"/>
        <v>0.3</v>
      </c>
      <c r="D77">
        <f t="shared" si="11"/>
        <v>3</v>
      </c>
      <c r="F77">
        <f t="shared" si="7"/>
        <v>0</v>
      </c>
      <c r="G77">
        <f t="shared" si="8"/>
        <v>0</v>
      </c>
      <c r="H77">
        <f t="shared" si="9"/>
        <v>0</v>
      </c>
      <c r="M77"/>
      <c r="P77" s="11">
        <v>0</v>
      </c>
    </row>
    <row r="78" spans="1:16" x14ac:dyDescent="0.2">
      <c r="A78">
        <v>10</v>
      </c>
      <c r="B78">
        <v>76</v>
      </c>
      <c r="C78" s="8">
        <f t="shared" si="10"/>
        <v>0.3</v>
      </c>
      <c r="D78">
        <f t="shared" si="11"/>
        <v>3</v>
      </c>
      <c r="F78">
        <f t="shared" si="7"/>
        <v>0</v>
      </c>
      <c r="G78">
        <f t="shared" si="8"/>
        <v>0</v>
      </c>
      <c r="H78">
        <f t="shared" si="9"/>
        <v>0</v>
      </c>
      <c r="M78"/>
      <c r="P78" s="11">
        <v>0</v>
      </c>
    </row>
    <row r="79" spans="1:16" x14ac:dyDescent="0.2">
      <c r="A79">
        <v>10</v>
      </c>
      <c r="B79">
        <v>77</v>
      </c>
      <c r="C79" s="8">
        <f t="shared" si="10"/>
        <v>0</v>
      </c>
      <c r="D79">
        <f t="shared" si="11"/>
        <v>0</v>
      </c>
      <c r="E79">
        <v>3</v>
      </c>
      <c r="M79"/>
      <c r="P79" s="11">
        <v>0</v>
      </c>
    </row>
    <row r="80" spans="1:16" x14ac:dyDescent="0.2">
      <c r="A80">
        <v>10</v>
      </c>
      <c r="B80">
        <v>78</v>
      </c>
      <c r="C80" s="8">
        <f t="shared" si="10"/>
        <v>0</v>
      </c>
      <c r="D80">
        <f t="shared" si="11"/>
        <v>0</v>
      </c>
      <c r="E80">
        <v>0</v>
      </c>
      <c r="M80"/>
      <c r="P80" s="11">
        <v>0</v>
      </c>
    </row>
    <row r="81" spans="13:16" x14ac:dyDescent="0.2">
      <c r="M81"/>
      <c r="P81" s="11">
        <v>0</v>
      </c>
    </row>
    <row r="82" spans="13:16" x14ac:dyDescent="0.2">
      <c r="P82" s="11">
        <v>0</v>
      </c>
    </row>
    <row r="83" spans="13:16" x14ac:dyDescent="0.2">
      <c r="P83" s="11">
        <v>0</v>
      </c>
    </row>
    <row r="84" spans="13:16" x14ac:dyDescent="0.2">
      <c r="P84" s="11">
        <v>0</v>
      </c>
    </row>
    <row r="85" spans="13:16" x14ac:dyDescent="0.2">
      <c r="P85" s="11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LifeTable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Mangan</dc:creator>
  <cp:lastModifiedBy>Rosie Mangan</cp:lastModifiedBy>
  <dcterms:created xsi:type="dcterms:W3CDTF">2025-08-16T22:07:42Z</dcterms:created>
  <dcterms:modified xsi:type="dcterms:W3CDTF">2025-08-16T23:02:50Z</dcterms:modified>
</cp:coreProperties>
</file>